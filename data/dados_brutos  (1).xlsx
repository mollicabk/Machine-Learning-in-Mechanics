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GRUPOS" sheetId="1" state="visible" r:id="rId3"/>
    <sheet name="G1" sheetId="2" state="visible" r:id="rId4"/>
    <sheet name="G2" sheetId="3" state="visible" r:id="rId5"/>
    <sheet name="G3" sheetId="4" state="visible" r:id="rId6"/>
    <sheet name="G4" sheetId="5" state="visible" r:id="rId7"/>
    <sheet name="G5" sheetId="6" state="visible" r:id="rId8"/>
    <sheet name="G6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<sst xmlns="http://schemas.openxmlformats.org/spreadsheetml/2006/main" count="628" uniqueCount="82">
  <si>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</si>
  <si>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</si>
  <si>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</si>
  <si>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</si>
  <si>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</si>
  <si>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G6</t>
  </si>
  <si>
    <t xml:space="preserve">Alice</t>
  </si>
  <si>
    <t xml:space="preserve">Henry</t>
  </si>
  <si>
    <t xml:space="preserve">Livia</t>
  </si>
  <si>
    <t xml:space="preserve">Felipe</t>
  </si>
  <si>
    <t xml:space="preserve">Carol</t>
  </si>
  <si>
    <t xml:space="preserve">Bruno</t>
  </si>
  <si>
    <t xml:space="preserve">Bruna</t>
  </si>
  <si>
    <t xml:space="preserve">Joaquim</t>
  </si>
  <si>
    <t xml:space="preserve">Lia</t>
  </si>
  <si>
    <t xml:space="preserve">Matheus</t>
  </si>
  <si>
    <t xml:space="preserve">Luan</t>
  </si>
  <si>
    <t xml:space="preserve">Luiza</t>
  </si>
  <si>
    <t xml:space="preserve">Martina</t>
  </si>
  <si>
    <t xml:space="preserve">Leticia</t>
  </si>
  <si>
    <t xml:space="preserve">Maria</t>
  </si>
  <si>
    <t xml:space="preserve">Carolina</t>
  </si>
  <si>
    <t xml:space="preserve">Diego</t>
  </si>
  <si>
    <t xml:space="preserve">Sofia</t>
  </si>
  <si>
    <t xml:space="preserve">Eduardo</t>
  </si>
  <si>
    <t xml:space="preserve">Micael</t>
  </si>
  <si>
    <t xml:space="preserve">Caue</t>
  </si>
  <si>
    <t xml:space="preserve">Hillary</t>
  </si>
  <si>
    <t xml:space="preserve">José</t>
  </si>
  <si>
    <t xml:space="preserve">Jhose</t>
  </si>
  <si>
    <t xml:space="preserve">Configuração de sistema</t>
  </si>
  <si>
    <t xml:space="preserve">Delta S</t>
  </si>
  <si>
    <t xml:space="preserve">Cilindrio Alumínio </t>
  </si>
  <si>
    <t xml:space="preserve">Cilindro Aço </t>
  </si>
  <si>
    <t xml:space="preserve">h (cm</t>
  </si>
  <si>
    <t xml:space="preserve">Tempo (s) </t>
  </si>
  <si>
    <t xml:space="preserve">Aluno 1</t>
  </si>
  <si>
    <t xml:space="preserve">Aluno 2</t>
  </si>
  <si>
    <t xml:space="preserve">Aluno 3</t>
  </si>
  <si>
    <t xml:space="preserve">Aluno 4</t>
  </si>
  <si>
    <t xml:space="preserve">Aluno 5</t>
  </si>
  <si>
    <t xml:space="preserve">Aluno 6</t>
  </si>
  <si>
    <t xml:space="preserve">Tempo (s)</t>
  </si>
  <si>
    <t xml:space="preserve">Aluno 2 </t>
  </si>
  <si>
    <t xml:space="preserve">theta graus</t>
  </si>
  <si>
    <t xml:space="preserve">Medida</t>
  </si>
  <si>
    <t xml:space="preserve">Cilindro alumínio</t>
  </si>
  <si>
    <t xml:space="preserve">-</t>
  </si>
  <si>
    <t xml:space="preserve">diametro medio</t>
  </si>
  <si>
    <t xml:space="preserve">altura</t>
  </si>
  <si>
    <t xml:space="preserve">massa</t>
  </si>
  <si>
    <t xml:space="preserve">Cilindro aço</t>
  </si>
  <si>
    <t xml:space="preserve">diametro</t>
  </si>
  <si>
    <t xml:space="preserve">Altura(cateto oposto)(metros)</t>
  </si>
  <si>
    <t xml:space="preserve">Tábua(hipotenusa)(metros)</t>
  </si>
  <si>
    <t xml:space="preserve">anguloaluno1</t>
  </si>
  <si>
    <t xml:space="preserve">anguloaluno2</t>
  </si>
  <si>
    <t xml:space="preserve">anguloaluno3</t>
  </si>
  <si>
    <t xml:space="preserve">anguloaluno4</t>
  </si>
  <si>
    <t xml:space="preserve">anguloaluno5</t>
  </si>
  <si>
    <t xml:space="preserve">Tempo</t>
  </si>
  <si>
    <t xml:space="preserve">Medida 1</t>
  </si>
  <si>
    <t xml:space="preserve">Medida 2</t>
  </si>
  <si>
    <t xml:space="preserve">Medida 3</t>
  </si>
  <si>
    <t xml:space="preserve">Medida 4</t>
  </si>
  <si>
    <t xml:space="preserve">Medida 5</t>
  </si>
  <si>
    <t xml:space="preserve">Medida 6</t>
  </si>
  <si>
    <t xml:space="preserve">Medida 7</t>
  </si>
  <si>
    <t xml:space="preserve">Medida 8</t>
  </si>
  <si>
    <t xml:space="preserve">Medida 9</t>
  </si>
  <si>
    <t xml:space="preserve">Medida 10</t>
  </si>
  <si>
    <t xml:space="preserve">Medida 11</t>
  </si>
  <si>
    <t xml:space="preserve">Medida 12</t>
  </si>
  <si>
    <t xml:space="preserve">Medida 13</t>
  </si>
  <si>
    <t xml:space="preserve">Medida 14</t>
  </si>
  <si>
    <t xml:space="preserve">Medida 15</t>
  </si>
  <si>
    <t xml:space="preserve">Medida 16</t>
  </si>
  <si>
    <t xml:space="preserve">Medida 17</t>
  </si>
  <si>
    <t xml:space="preserve">Medida 18</t>
  </si>
  <si>
    <t xml:space="preserve">Medida 19</t>
  </si>
  <si>
    <t xml:space="preserve">Medida 20</t>
  </si>
  <si>
    <t xml:space="preserve">Maria Eduarda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</si>
</sst>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rgb="FF18181B"/>
      <name val="Ui-sans-serif"/>
      <family val="0"/>
      <charset val="1"/>
    </font>
    <font>
      <sz val="11"/>
      <color rgb="FF18181B"/>
      <name val="Arial"/>
      <family val="0"/>
      <charset val="1"/>
    </font>
    <font>
      <sz val="11"/>
      <color rgb="FF3B3B3B"/>
      <name val="Arial"/>
      <family val="0"/>
      <charset val="1"/>
    </font>
    <font>
      <sz val="11"/>
      <color rgb="FF3B3B3B"/>
      <name val="Consola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FEFEF"/>
        <bgColor rgb="FFFFF2CC"/>
      </patternFill>
    </fill>
    <fill>
      <patternFill patternType="solid">
        <fgColor rgb="FFFFF2CC"/>
        <bgColor rgb="FFEFEFEF"/>
      </patternFill>
    </fill>
    <fill>
      <patternFill patternType="solid">
        <fgColor rgb="FFFFFFFF"/>
        <bgColor rgb="FFEFEFE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FEF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8181B"/>
      <rgbColor rgb="FF333300"/>
      <rgbColor rgb="FF993300"/>
      <rgbColor rgb="FF993366"/>
      <rgbColor rgb="FF333399"/>
      <rgbColor rgb="FF3B3B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.75" hidden="false" customHeight="fals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customFormat="false" ht="15.75" hidden="false" customHeight="false" outlineLevel="0" collapsed="false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9</v>
      </c>
    </row>
    <row r="4" customFormat="false" ht="15.75" hidden="false" customHeight="false" outlineLevel="0" collapsed="false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</row>
    <row r="5" customFormat="false" ht="15.75" hidden="false" customHeight="false" outlineLevel="0" collapsed="false">
      <c r="A5" s="1" t="s">
        <v>23</v>
      </c>
      <c r="C5" s="1" t="s">
        <v>24</v>
      </c>
      <c r="E5" s="1" t="s">
        <v>25</v>
      </c>
      <c r="F5" s="1" t="s">
        <v>26</v>
      </c>
    </row>
    <row r="6" customFormat="false" ht="15.75" hidden="false" customHeight="false" outlineLevel="0" collapsed="false">
      <c r="C6" s="1" t="s">
        <v>27</v>
      </c>
      <c r="E6" s="1" t="s">
        <v>28</v>
      </c>
      <c r="F6" s="1" t="s">
        <v>29</v>
      </c>
    </row>
    <row r="10" customFormat="false" ht="15.75" hidden="false" customHeight="false" outlineLevel="0" collapsed="false">
      <c r="A10" s="1"/>
      <c r="B10" s="1"/>
      <c r="C10" s="1"/>
      <c r="D10" s="1"/>
      <c r="E10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G12" activeCellId="0" sqref="G12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B1" s="2" t="s">
        <v>30</v>
      </c>
      <c r="C1" s="2"/>
      <c r="D1" s="2"/>
    </row>
    <row r="2" customFormat="false" ht="13.8" hidden="false" customHeight="false" outlineLevel="0" collapsed="false">
      <c r="G2" s="1"/>
    </row>
    <row r="3" customFormat="false" ht="15.75" hidden="false" customHeight="false" outlineLevel="0" collapsed="false">
      <c r="A3" s="1" t="s">
        <v>31</v>
      </c>
      <c r="B3" s="1" t="n">
        <v>113</v>
      </c>
      <c r="C3" s="1" t="n">
        <v>113</v>
      </c>
      <c r="D3" s="1" t="n">
        <v>112.9</v>
      </c>
      <c r="E3" s="1" t="n">
        <v>112.9</v>
      </c>
      <c r="F3" s="1" t="n">
        <v>113</v>
      </c>
      <c r="G3" s="1" t="n">
        <v>112.9</v>
      </c>
      <c r="H3" s="3" t="s">
        <v>32</v>
      </c>
      <c r="I3" s="3"/>
      <c r="J3" s="3"/>
      <c r="K3" s="3"/>
      <c r="L3" s="3"/>
      <c r="M3" s="3"/>
      <c r="N3" s="3"/>
      <c r="P3" s="4" t="s">
        <v>33</v>
      </c>
      <c r="Q3" s="4"/>
      <c r="R3" s="4"/>
      <c r="S3" s="4"/>
      <c r="T3" s="4"/>
      <c r="U3" s="4"/>
      <c r="V3" s="4"/>
    </row>
    <row r="4" customFormat="false" ht="15.75" hidden="false" customHeight="false" outlineLevel="0" collapsed="false">
      <c r="A4" s="1" t="s">
        <v>34</v>
      </c>
      <c r="B4" s="1" t="n">
        <v>2.12</v>
      </c>
      <c r="C4" s="1" t="n">
        <v>2.12</v>
      </c>
      <c r="D4" s="1" t="n">
        <v>2.12</v>
      </c>
      <c r="H4" s="1" t="s">
        <v>35</v>
      </c>
      <c r="I4" s="1" t="s">
        <v>36</v>
      </c>
      <c r="J4" s="1" t="s">
        <v>37</v>
      </c>
      <c r="K4" s="1" t="s">
        <v>38</v>
      </c>
      <c r="L4" s="1" t="s">
        <v>39</v>
      </c>
      <c r="M4" s="5" t="s">
        <v>40</v>
      </c>
      <c r="N4" s="5" t="s">
        <v>41</v>
      </c>
      <c r="O4" s="1"/>
      <c r="P4" s="1" t="s">
        <v>42</v>
      </c>
      <c r="Q4" s="1" t="s">
        <v>36</v>
      </c>
      <c r="R4" s="1" t="s">
        <v>43</v>
      </c>
      <c r="S4" s="1" t="s">
        <v>38</v>
      </c>
      <c r="T4" s="1" t="s">
        <v>39</v>
      </c>
      <c r="U4" s="5" t="s">
        <v>40</v>
      </c>
      <c r="V4" s="5" t="s">
        <v>41</v>
      </c>
    </row>
    <row r="5" customFormat="false" ht="15.75" hidden="false" customHeight="false" outlineLevel="0" collapsed="false">
      <c r="A5" s="1" t="s">
        <v>44</v>
      </c>
      <c r="B5" s="6" t="n">
        <v>0.019</v>
      </c>
      <c r="C5" s="6" t="n">
        <v>0.02</v>
      </c>
      <c r="D5" s="6" t="n">
        <v>0.018</v>
      </c>
      <c r="H5" s="5" t="s">
        <v>45</v>
      </c>
      <c r="I5" s="7"/>
      <c r="J5" s="7"/>
      <c r="K5" s="7"/>
      <c r="L5" s="7"/>
      <c r="M5" s="5"/>
      <c r="N5" s="5"/>
      <c r="O5" s="5"/>
      <c r="P5" s="5" t="s">
        <v>45</v>
      </c>
      <c r="Q5" s="7"/>
      <c r="R5" s="7"/>
      <c r="S5" s="7"/>
      <c r="T5" s="7"/>
    </row>
    <row r="6" customFormat="false" ht="15.75" hidden="false" customHeight="false" outlineLevel="0" collapsed="false">
      <c r="B6" s="2" t="s">
        <v>46</v>
      </c>
      <c r="C6" s="2"/>
      <c r="D6" s="2"/>
      <c r="H6" s="5" t="n">
        <v>1</v>
      </c>
      <c r="I6" s="5" t="n">
        <v>3.41</v>
      </c>
      <c r="J6" s="5" t="n">
        <v>3.41</v>
      </c>
      <c r="K6" s="7" t="n">
        <v>3.28</v>
      </c>
      <c r="L6" s="7" t="n">
        <v>3.31</v>
      </c>
      <c r="M6" s="5"/>
      <c r="N6" s="5"/>
      <c r="O6" s="5"/>
      <c r="P6" s="5" t="n">
        <v>1</v>
      </c>
      <c r="Q6" s="7" t="n">
        <v>3.37</v>
      </c>
      <c r="R6" s="5" t="n">
        <v>3.4</v>
      </c>
      <c r="S6" s="5" t="n">
        <v>3.44</v>
      </c>
      <c r="T6" s="5" t="n">
        <v>3.44</v>
      </c>
      <c r="U6" s="5" t="s">
        <v>47</v>
      </c>
      <c r="V6" s="5" t="s">
        <v>47</v>
      </c>
    </row>
    <row r="7" customFormat="false" ht="13.8" hidden="false" customHeight="false" outlineLevel="0" collapsed="false">
      <c r="A7" s="1" t="s">
        <v>48</v>
      </c>
      <c r="B7" s="1" t="n">
        <v>4.98</v>
      </c>
      <c r="C7" s="1" t="n">
        <v>4.98</v>
      </c>
      <c r="D7" s="1" t="n">
        <v>4.98</v>
      </c>
      <c r="E7" s="1" t="n">
        <v>4.99</v>
      </c>
      <c r="H7" s="5" t="n">
        <v>2</v>
      </c>
      <c r="I7" s="5" t="n">
        <v>3.53</v>
      </c>
      <c r="J7" s="5" t="n">
        <v>3.37</v>
      </c>
      <c r="K7" s="5" t="n">
        <v>3.35</v>
      </c>
      <c r="L7" s="5" t="n">
        <v>3.34</v>
      </c>
      <c r="M7" s="5"/>
      <c r="N7" s="5"/>
      <c r="O7" s="5"/>
      <c r="P7" s="5" t="n">
        <v>2</v>
      </c>
      <c r="Q7" s="5" t="n">
        <v>3.35</v>
      </c>
      <c r="R7" s="5" t="n">
        <v>3.57</v>
      </c>
      <c r="S7" s="5" t="n">
        <v>3.12</v>
      </c>
      <c r="T7" s="5" t="n">
        <v>3.63</v>
      </c>
      <c r="U7" s="5" t="s">
        <v>47</v>
      </c>
      <c r="V7" s="5" t="s">
        <v>47</v>
      </c>
    </row>
    <row r="8" customFormat="false" ht="13.8" hidden="false" customHeight="false" outlineLevel="0" collapsed="false">
      <c r="A8" s="1" t="s">
        <v>49</v>
      </c>
      <c r="B8" s="1" t="n">
        <v>4.98</v>
      </c>
      <c r="C8" s="1" t="n">
        <v>4.98</v>
      </c>
      <c r="D8" s="1" t="n">
        <v>4.98</v>
      </c>
      <c r="E8" s="1" t="n">
        <v>4.98</v>
      </c>
      <c r="H8" s="5" t="n">
        <v>3</v>
      </c>
      <c r="I8" s="5" t="n">
        <v>3.4</v>
      </c>
      <c r="J8" s="5" t="n">
        <v>3.38</v>
      </c>
      <c r="K8" s="5" t="n">
        <v>3.37</v>
      </c>
      <c r="L8" s="5" t="n">
        <v>3.58</v>
      </c>
      <c r="M8" s="5"/>
      <c r="N8" s="5"/>
      <c r="O8" s="5"/>
      <c r="P8" s="5" t="n">
        <v>3</v>
      </c>
      <c r="Q8" s="5" t="n">
        <v>3.56</v>
      </c>
      <c r="R8" s="5" t="n">
        <v>3.28</v>
      </c>
      <c r="S8" s="5" t="n">
        <v>3.5</v>
      </c>
      <c r="T8" s="5" t="n">
        <v>3.44</v>
      </c>
      <c r="U8" s="5" t="s">
        <v>47</v>
      </c>
      <c r="V8" s="5" t="s">
        <v>47</v>
      </c>
    </row>
    <row r="9" customFormat="false" ht="13.8" hidden="false" customHeight="false" outlineLevel="0" collapsed="false">
      <c r="A9" s="1" t="s">
        <v>50</v>
      </c>
      <c r="B9" s="1" t="n">
        <v>265.8</v>
      </c>
      <c r="C9" s="1" t="n">
        <v>265.8</v>
      </c>
      <c r="D9" s="1" t="n">
        <v>265.8</v>
      </c>
      <c r="E9" s="1" t="n">
        <v>265.8</v>
      </c>
      <c r="H9" s="5" t="n">
        <v>4</v>
      </c>
      <c r="I9" s="5" t="n">
        <v>3.35</v>
      </c>
      <c r="J9" s="5" t="n">
        <v>3.37</v>
      </c>
      <c r="K9" s="5" t="n">
        <v>3.31</v>
      </c>
      <c r="L9" s="5" t="n">
        <v>3.58</v>
      </c>
      <c r="M9" s="5"/>
      <c r="N9" s="5"/>
      <c r="O9" s="5"/>
      <c r="P9" s="5" t="n">
        <v>4</v>
      </c>
      <c r="Q9" s="5" t="n">
        <v>3.4</v>
      </c>
      <c r="R9" s="7" t="n">
        <v>3.31</v>
      </c>
      <c r="S9" s="5" t="n">
        <v>3.44</v>
      </c>
      <c r="T9" s="5" t="n">
        <v>3.46</v>
      </c>
      <c r="U9" s="5" t="s">
        <v>47</v>
      </c>
      <c r="V9" s="5" t="s">
        <v>47</v>
      </c>
    </row>
    <row r="10" customFormat="false" ht="15.75" hidden="false" customHeight="false" outlineLevel="0" collapsed="false">
      <c r="B10" s="2" t="s">
        <v>51</v>
      </c>
      <c r="C10" s="2"/>
      <c r="D10" s="2"/>
      <c r="H10" s="5" t="n">
        <v>5</v>
      </c>
      <c r="I10" s="5" t="n">
        <v>3.47</v>
      </c>
      <c r="J10" s="5" t="n">
        <v>3.47</v>
      </c>
      <c r="K10" s="5" t="n">
        <v>3.49</v>
      </c>
      <c r="L10" s="5" t="n">
        <v>3.54</v>
      </c>
      <c r="M10" s="5"/>
      <c r="N10" s="5"/>
      <c r="O10" s="5"/>
      <c r="P10" s="5" t="n">
        <v>5</v>
      </c>
      <c r="Q10" s="5" t="n">
        <v>3.35</v>
      </c>
      <c r="R10" s="7" t="n">
        <v>3.35</v>
      </c>
      <c r="S10" s="5" t="n">
        <v>3.29</v>
      </c>
      <c r="T10" s="5" t="n">
        <v>3.63</v>
      </c>
      <c r="U10" s="5" t="s">
        <v>47</v>
      </c>
      <c r="V10" s="5" t="s">
        <v>47</v>
      </c>
    </row>
    <row r="11" customFormat="false" ht="15.75" hidden="false" customHeight="false" outlineLevel="0" collapsed="false">
      <c r="A11" s="1" t="s">
        <v>52</v>
      </c>
      <c r="B11" s="1" t="n">
        <v>4.99</v>
      </c>
      <c r="C11" s="1" t="n">
        <v>4.98</v>
      </c>
      <c r="D11" s="1" t="n">
        <v>5</v>
      </c>
      <c r="E11" s="1" t="n">
        <v>4.99</v>
      </c>
      <c r="F11" s="1" t="n">
        <v>4.99</v>
      </c>
      <c r="G11" s="1" t="n">
        <v>4.98</v>
      </c>
      <c r="H11" s="5" t="n">
        <v>6</v>
      </c>
      <c r="I11" s="5" t="n">
        <v>3.34</v>
      </c>
      <c r="J11" s="5" t="n">
        <v>3.25</v>
      </c>
      <c r="K11" s="5" t="n">
        <v>3.35</v>
      </c>
      <c r="L11" s="5" t="n">
        <v>3.58</v>
      </c>
      <c r="M11" s="5"/>
      <c r="N11" s="5"/>
      <c r="O11" s="5"/>
      <c r="P11" s="5" t="n">
        <v>6</v>
      </c>
      <c r="Q11" s="5" t="n">
        <v>3.47</v>
      </c>
      <c r="R11" s="5" t="n">
        <v>3.4</v>
      </c>
      <c r="S11" s="5" t="n">
        <v>3.47</v>
      </c>
      <c r="T11" s="5" t="n">
        <v>3.44</v>
      </c>
      <c r="U11" s="5" t="s">
        <v>47</v>
      </c>
      <c r="V11" s="5" t="s">
        <v>47</v>
      </c>
    </row>
    <row r="12" customFormat="false" ht="15.75" hidden="false" customHeight="false" outlineLevel="0" collapsed="false">
      <c r="A12" s="1" t="s">
        <v>49</v>
      </c>
      <c r="B12" s="1" t="n">
        <v>5.01</v>
      </c>
      <c r="C12" s="1" t="n">
        <v>5.01</v>
      </c>
      <c r="D12" s="1" t="n">
        <v>5.02</v>
      </c>
      <c r="E12" s="1" t="n">
        <v>5.02</v>
      </c>
      <c r="F12" s="1" t="n">
        <v>5.03</v>
      </c>
      <c r="G12" s="1" t="n">
        <v>5.01</v>
      </c>
      <c r="H12" s="5" t="n">
        <v>7</v>
      </c>
      <c r="I12" s="5" t="n">
        <v>3.14</v>
      </c>
      <c r="J12" s="5" t="n">
        <v>3.53</v>
      </c>
      <c r="K12" s="5" t="n">
        <v>3.28</v>
      </c>
      <c r="L12" s="5" t="n">
        <v>3.44</v>
      </c>
      <c r="M12" s="5"/>
      <c r="N12" s="5"/>
      <c r="O12" s="5"/>
      <c r="P12" s="5" t="n">
        <v>7</v>
      </c>
      <c r="Q12" s="5" t="n">
        <v>3.38</v>
      </c>
      <c r="R12" s="7" t="n">
        <v>3.37</v>
      </c>
      <c r="S12" s="5" t="n">
        <v>3.5</v>
      </c>
      <c r="T12" s="5" t="n">
        <v>3.47</v>
      </c>
      <c r="U12" s="5" t="s">
        <v>47</v>
      </c>
      <c r="V12" s="5" t="s">
        <v>47</v>
      </c>
    </row>
    <row r="13" customFormat="false" ht="15.75" hidden="false" customHeight="false" outlineLevel="0" collapsed="false">
      <c r="A13" s="1" t="s">
        <v>50</v>
      </c>
      <c r="B13" s="1" t="n">
        <v>826.6</v>
      </c>
      <c r="C13" s="1" t="n">
        <v>826.6</v>
      </c>
      <c r="D13" s="1" t="n">
        <v>826.6</v>
      </c>
      <c r="H13" s="5" t="n">
        <v>8</v>
      </c>
      <c r="I13" s="5" t="n">
        <v>3.25</v>
      </c>
      <c r="J13" s="5" t="n">
        <v>3.37</v>
      </c>
      <c r="K13" s="5" t="n">
        <v>3.31</v>
      </c>
      <c r="L13" s="5" t="n">
        <v>3.58</v>
      </c>
      <c r="M13" s="5"/>
      <c r="N13" s="5"/>
      <c r="O13" s="5"/>
      <c r="P13" s="5" t="n">
        <v>8</v>
      </c>
      <c r="Q13" s="5" t="n">
        <v>3.44</v>
      </c>
      <c r="R13" s="5" t="n">
        <v>3.53</v>
      </c>
      <c r="S13" s="5" t="n">
        <v>3.4</v>
      </c>
      <c r="T13" s="5" t="n">
        <v>3.5</v>
      </c>
      <c r="U13" s="5" t="s">
        <v>47</v>
      </c>
      <c r="V13" s="5" t="s">
        <v>47</v>
      </c>
    </row>
    <row r="14" customFormat="false" ht="15.75" hidden="false" customHeight="false" outlineLevel="0" collapsed="false">
      <c r="H14" s="5" t="n">
        <v>9</v>
      </c>
      <c r="I14" s="5" t="n">
        <v>3.39</v>
      </c>
      <c r="J14" s="5" t="n">
        <v>3.53</v>
      </c>
      <c r="K14" s="5" t="n">
        <v>3.41</v>
      </c>
      <c r="L14" s="5" t="n">
        <v>3.28</v>
      </c>
      <c r="M14" s="5"/>
      <c r="N14" s="5"/>
      <c r="O14" s="5"/>
      <c r="P14" s="5" t="n">
        <v>9</v>
      </c>
      <c r="Q14" s="5" t="n">
        <v>3.39</v>
      </c>
      <c r="R14" s="5" t="n">
        <v>3.41</v>
      </c>
      <c r="S14" s="7" t="n">
        <v>3.32</v>
      </c>
      <c r="T14" s="5" t="n">
        <v>3.4</v>
      </c>
      <c r="U14" s="5" t="s">
        <v>47</v>
      </c>
      <c r="V14" s="5" t="s">
        <v>47</v>
      </c>
    </row>
    <row r="15" customFormat="false" ht="15.75" hidden="false" customHeight="false" outlineLevel="0" collapsed="false">
      <c r="H15" s="5" t="n">
        <v>10</v>
      </c>
      <c r="I15" s="5" t="n">
        <v>3.44</v>
      </c>
      <c r="J15" s="5" t="n">
        <v>3.37</v>
      </c>
      <c r="K15" s="5" t="n">
        <v>3.5</v>
      </c>
      <c r="L15" s="5" t="n">
        <v>3.37</v>
      </c>
      <c r="M15" s="5"/>
      <c r="N15" s="5"/>
      <c r="O15" s="5"/>
      <c r="P15" s="5" t="n">
        <v>10</v>
      </c>
      <c r="Q15" s="5" t="n">
        <v>3.41</v>
      </c>
      <c r="R15" s="5" t="n">
        <v>3.32</v>
      </c>
      <c r="S15" s="7" t="n">
        <v>3.35</v>
      </c>
      <c r="T15" s="5" t="n">
        <v>3.53</v>
      </c>
      <c r="U15" s="5" t="s">
        <v>47</v>
      </c>
      <c r="V15" s="5" t="s">
        <v>47</v>
      </c>
    </row>
    <row r="16" customFormat="false" ht="15.75" hidden="false" customHeight="false" outlineLevel="0" collapsed="false">
      <c r="A16" s="1" t="s">
        <v>53</v>
      </c>
      <c r="C16" s="1" t="s">
        <v>54</v>
      </c>
      <c r="H16" s="5" t="n">
        <v>11</v>
      </c>
      <c r="I16" s="5" t="n">
        <v>3.31</v>
      </c>
      <c r="J16" s="5" t="n">
        <v>3.65</v>
      </c>
      <c r="K16" s="5" t="n">
        <v>3.28</v>
      </c>
      <c r="L16" s="5" t="n">
        <v>3.31</v>
      </c>
      <c r="M16" s="5"/>
      <c r="N16" s="5"/>
      <c r="O16" s="5"/>
      <c r="P16" s="5" t="n">
        <v>11</v>
      </c>
      <c r="Q16" s="5" t="n">
        <v>3.29</v>
      </c>
      <c r="R16" s="7" t="n">
        <v>3.37</v>
      </c>
      <c r="S16" s="7" t="n">
        <v>3.41</v>
      </c>
      <c r="T16" s="5" t="n">
        <v>3.44</v>
      </c>
      <c r="U16" s="5" t="s">
        <v>47</v>
      </c>
      <c r="V16" s="5" t="s">
        <v>47</v>
      </c>
    </row>
    <row r="17" customFormat="false" ht="15.75" hidden="false" customHeight="false" outlineLevel="0" collapsed="false">
      <c r="A17" s="1" t="n">
        <v>0.0212</v>
      </c>
      <c r="C17" s="1" t="n">
        <v>113</v>
      </c>
      <c r="H17" s="5" t="n">
        <v>12</v>
      </c>
      <c r="I17" s="5" t="n">
        <v>3.41</v>
      </c>
      <c r="J17" s="5" t="n">
        <v>3.24</v>
      </c>
      <c r="K17" s="5" t="n">
        <v>3.25</v>
      </c>
      <c r="L17" s="5" t="n">
        <v>3.44</v>
      </c>
      <c r="M17" s="5"/>
      <c r="N17" s="5"/>
      <c r="O17" s="5"/>
      <c r="P17" s="5" t="n">
        <v>12</v>
      </c>
      <c r="Q17" s="7" t="n">
        <v>3.37</v>
      </c>
      <c r="R17" s="7" t="n">
        <v>3.44</v>
      </c>
      <c r="S17" s="5" t="n">
        <v>3.31</v>
      </c>
      <c r="T17" s="5" t="n">
        <v>3.38</v>
      </c>
      <c r="U17" s="5" t="s">
        <v>47</v>
      </c>
      <c r="V17" s="5" t="s">
        <v>47</v>
      </c>
    </row>
    <row r="18" customFormat="false" ht="15.75" hidden="false" customHeight="false" outlineLevel="0" collapsed="false">
      <c r="A18" s="1" t="n">
        <v>0.0212</v>
      </c>
      <c r="C18" s="1" t="n">
        <v>113</v>
      </c>
      <c r="H18" s="5" t="n">
        <v>13</v>
      </c>
      <c r="I18" s="5" t="n">
        <v>3.5</v>
      </c>
      <c r="J18" s="5" t="n">
        <v>3.38</v>
      </c>
      <c r="K18" s="5" t="n">
        <v>3.34</v>
      </c>
      <c r="L18" s="5" t="n">
        <v>3.31</v>
      </c>
      <c r="M18" s="5"/>
      <c r="N18" s="5"/>
      <c r="O18" s="5"/>
      <c r="P18" s="5" t="n">
        <v>13</v>
      </c>
      <c r="Q18" s="5" t="n">
        <v>3.44</v>
      </c>
      <c r="R18" s="7" t="n">
        <v>3.47</v>
      </c>
      <c r="S18" s="7" t="n">
        <v>3.41</v>
      </c>
      <c r="T18" s="5" t="n">
        <v>3.46</v>
      </c>
      <c r="U18" s="5" t="s">
        <v>47</v>
      </c>
      <c r="V18" s="5" t="s">
        <v>47</v>
      </c>
    </row>
    <row r="19" customFormat="false" ht="15.75" hidden="false" customHeight="false" outlineLevel="0" collapsed="false">
      <c r="A19" s="1" t="n">
        <v>0.0212</v>
      </c>
      <c r="C19" s="1" t="n">
        <v>112.9</v>
      </c>
      <c r="H19" s="5" t="n">
        <v>14</v>
      </c>
      <c r="I19" s="5" t="n">
        <v>3.35</v>
      </c>
      <c r="J19" s="5" t="n">
        <v>3.39</v>
      </c>
      <c r="K19" s="5" t="n">
        <v>3.34</v>
      </c>
      <c r="L19" s="5" t="n">
        <v>3.28</v>
      </c>
      <c r="M19" s="5"/>
      <c r="N19" s="5"/>
      <c r="O19" s="5"/>
      <c r="P19" s="5" t="n">
        <v>14</v>
      </c>
      <c r="Q19" s="5" t="n">
        <v>3.38</v>
      </c>
      <c r="R19" s="5" t="n">
        <v>3.44</v>
      </c>
      <c r="S19" s="5" t="n">
        <v>3.44</v>
      </c>
      <c r="T19" s="5" t="n">
        <v>3.5</v>
      </c>
      <c r="U19" s="5" t="s">
        <v>47</v>
      </c>
      <c r="V19" s="5" t="s">
        <v>47</v>
      </c>
    </row>
    <row r="20" customFormat="false" ht="15.75" hidden="false" customHeight="false" outlineLevel="0" collapsed="false">
      <c r="A20" s="1" t="n">
        <v>0.0211</v>
      </c>
      <c r="C20" s="1" t="n">
        <v>113</v>
      </c>
      <c r="H20" s="5" t="n">
        <v>15</v>
      </c>
      <c r="I20" s="5" t="n">
        <v>3.41</v>
      </c>
      <c r="J20" s="5" t="n">
        <v>3.38</v>
      </c>
      <c r="K20" s="5" t="n">
        <v>3.31</v>
      </c>
      <c r="L20" s="5" t="n">
        <v>3.69</v>
      </c>
      <c r="M20" s="5"/>
      <c r="N20" s="5"/>
      <c r="O20" s="5"/>
      <c r="P20" s="5" t="n">
        <v>15</v>
      </c>
      <c r="Q20" s="5" t="n">
        <v>3.38</v>
      </c>
      <c r="R20" s="7" t="n">
        <v>3.34</v>
      </c>
      <c r="S20" s="7" t="n">
        <v>3.15</v>
      </c>
      <c r="T20" s="5" t="n">
        <v>3.62</v>
      </c>
      <c r="U20" s="5" t="s">
        <v>47</v>
      </c>
      <c r="V20" s="5" t="s">
        <v>47</v>
      </c>
    </row>
    <row r="21" customFormat="false" ht="15.75" hidden="false" customHeight="false" outlineLevel="0" collapsed="false">
      <c r="A21" s="1" t="n">
        <v>0.0212</v>
      </c>
      <c r="C21" s="1" t="n">
        <v>112.9</v>
      </c>
      <c r="H21" s="5" t="n">
        <v>16</v>
      </c>
      <c r="I21" s="5" t="n">
        <v>3.46</v>
      </c>
      <c r="J21" s="5" t="n">
        <v>3.31</v>
      </c>
      <c r="K21" s="5" t="n">
        <v>3.19</v>
      </c>
      <c r="L21" s="5" t="n">
        <v>3.4</v>
      </c>
      <c r="M21" s="5"/>
      <c r="N21" s="5"/>
      <c r="O21" s="5"/>
      <c r="P21" s="5" t="n">
        <v>16</v>
      </c>
      <c r="Q21" s="7" t="n">
        <v>3.47</v>
      </c>
      <c r="R21" s="5" t="n">
        <v>3.22</v>
      </c>
      <c r="S21" s="7" t="n">
        <v>3.66</v>
      </c>
      <c r="T21" s="5" t="n">
        <v>3.34</v>
      </c>
      <c r="U21" s="5" t="s">
        <v>47</v>
      </c>
      <c r="V21" s="5" t="s">
        <v>47</v>
      </c>
    </row>
    <row r="22" customFormat="false" ht="15.75" hidden="false" customHeight="false" outlineLevel="0" collapsed="false">
      <c r="H22" s="5" t="n">
        <v>17</v>
      </c>
      <c r="I22" s="5" t="n">
        <v>3.22</v>
      </c>
      <c r="J22" s="5" t="n">
        <v>3.47</v>
      </c>
      <c r="K22" s="5" t="n">
        <v>3.31</v>
      </c>
      <c r="L22" s="5" t="n">
        <v>3.44</v>
      </c>
      <c r="M22" s="5"/>
      <c r="N22" s="5"/>
      <c r="O22" s="5"/>
      <c r="P22" s="5" t="n">
        <v>17</v>
      </c>
      <c r="Q22" s="5" t="n">
        <v>3.4</v>
      </c>
      <c r="R22" s="5" t="n">
        <v>3.38</v>
      </c>
      <c r="S22" s="5" t="n">
        <v>3.38</v>
      </c>
      <c r="T22" s="5" t="n">
        <v>3.59</v>
      </c>
      <c r="U22" s="5" t="s">
        <v>47</v>
      </c>
      <c r="V22" s="5" t="s">
        <v>47</v>
      </c>
    </row>
    <row r="23" customFormat="false" ht="15.75" hidden="false" customHeight="false" outlineLevel="0" collapsed="false">
      <c r="A23" s="1" t="s">
        <v>55</v>
      </c>
      <c r="B23" s="8" t="n">
        <f aca="false">ASIN(A17/C17)</f>
        <v>0.000187610620569605</v>
      </c>
      <c r="C23" s="8" t="n">
        <f aca="false">B23*180/PI()</f>
        <v>0.0107492967504686</v>
      </c>
      <c r="H23" s="5" t="n">
        <v>18</v>
      </c>
      <c r="I23" s="5" t="n">
        <v>3.44</v>
      </c>
      <c r="J23" s="5" t="n">
        <v>3.23</v>
      </c>
      <c r="K23" s="5" t="n">
        <v>3.4</v>
      </c>
      <c r="L23" s="5" t="n">
        <v>3.5</v>
      </c>
      <c r="M23" s="5"/>
      <c r="N23" s="5"/>
      <c r="O23" s="5"/>
      <c r="P23" s="5" t="n">
        <v>18</v>
      </c>
      <c r="Q23" s="7" t="n">
        <v>3.47</v>
      </c>
      <c r="R23" s="5" t="n">
        <v>3.47</v>
      </c>
      <c r="S23" s="5" t="n">
        <v>3.66</v>
      </c>
      <c r="T23" s="5" t="n">
        <v>3.5</v>
      </c>
      <c r="U23" s="5" t="s">
        <v>47</v>
      </c>
      <c r="V23" s="5" t="s">
        <v>47</v>
      </c>
    </row>
    <row r="24" customFormat="false" ht="15.75" hidden="false" customHeight="false" outlineLevel="0" collapsed="false">
      <c r="A24" s="1" t="s">
        <v>56</v>
      </c>
      <c r="B24" s="8" t="n">
        <f aca="false">ASIN(A18/C18)</f>
        <v>0.000187610620569605</v>
      </c>
      <c r="C24" s="8" t="n">
        <f aca="false">B24*180/PI()</f>
        <v>0.0107492967504686</v>
      </c>
      <c r="H24" s="5" t="n">
        <v>19</v>
      </c>
      <c r="I24" s="5" t="n">
        <v>3.41</v>
      </c>
      <c r="J24" s="5" t="n">
        <v>3.44</v>
      </c>
      <c r="K24" s="5" t="n">
        <v>3.15</v>
      </c>
      <c r="L24" s="5" t="n">
        <v>3.44</v>
      </c>
      <c r="M24" s="5"/>
      <c r="N24" s="5"/>
      <c r="O24" s="5"/>
      <c r="P24" s="5" t="n">
        <v>19</v>
      </c>
      <c r="Q24" s="5" t="n">
        <v>3.28</v>
      </c>
      <c r="R24" s="5" t="n">
        <v>3.4</v>
      </c>
      <c r="S24" s="5" t="n">
        <v>3.31</v>
      </c>
      <c r="T24" s="5" t="n">
        <v>3.53</v>
      </c>
      <c r="U24" s="5" t="s">
        <v>47</v>
      </c>
      <c r="V24" s="5" t="s">
        <v>47</v>
      </c>
    </row>
    <row r="25" customFormat="false" ht="15.75" hidden="false" customHeight="false" outlineLevel="0" collapsed="false">
      <c r="A25" s="1" t="s">
        <v>57</v>
      </c>
      <c r="B25" s="8" t="n">
        <f aca="false">ASIN(A19/C19)</f>
        <v>0.00018777679472618</v>
      </c>
      <c r="C25" s="8" t="n">
        <f aca="false">B25*180/PI()</f>
        <v>0.0107588178283046</v>
      </c>
      <c r="H25" s="5" t="n">
        <v>20</v>
      </c>
      <c r="I25" s="5" t="n">
        <v>3.31</v>
      </c>
      <c r="J25" s="5" t="n">
        <v>3.57</v>
      </c>
      <c r="K25" s="5" t="n">
        <v>3.35</v>
      </c>
      <c r="L25" s="5" t="n">
        <v>3.41</v>
      </c>
      <c r="M25" s="5"/>
      <c r="N25" s="5"/>
      <c r="O25" s="5"/>
      <c r="P25" s="5" t="n">
        <v>20</v>
      </c>
      <c r="Q25" s="5" t="n">
        <v>3.41</v>
      </c>
      <c r="R25" s="7" t="n">
        <v>3.28</v>
      </c>
      <c r="S25" s="5" t="n">
        <v>3.54</v>
      </c>
      <c r="T25" s="5" t="n">
        <v>3.46</v>
      </c>
      <c r="U25" s="5" t="s">
        <v>47</v>
      </c>
      <c r="V25" s="5" t="s">
        <v>47</v>
      </c>
    </row>
    <row r="26" customFormat="false" ht="15.75" hidden="false" customHeight="false" outlineLevel="0" collapsed="false">
      <c r="A26" s="1" t="s">
        <v>58</v>
      </c>
      <c r="B26" s="8" t="n">
        <f aca="false">ASIN(A20/C20)</f>
        <v>0.000186725664801892</v>
      </c>
      <c r="C26" s="8" t="n">
        <f aca="false">B26*180/PI()</f>
        <v>0.0106985925199229</v>
      </c>
    </row>
    <row r="27" customFormat="false" ht="15.75" hidden="false" customHeight="false" outlineLevel="0" collapsed="false">
      <c r="A27" s="1" t="s">
        <v>59</v>
      </c>
      <c r="B27" s="8" t="n">
        <f aca="false">ASIN(A21/C21)</f>
        <v>0.00018777679472618</v>
      </c>
      <c r="C27" s="8" t="n">
        <f aca="false">B27*180/PI()</f>
        <v>0.0107588178283046</v>
      </c>
    </row>
  </sheetData>
  <mergeCells count="5">
    <mergeCell ref="B1:D1"/>
    <mergeCell ref="H3:N3"/>
    <mergeCell ref="P3:V3"/>
    <mergeCell ref="B6:D6"/>
    <mergeCell ref="B10:D1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1" activeCellId="0" sqref="E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B1" s="2" t="s">
        <v>30</v>
      </c>
      <c r="C1" s="2"/>
      <c r="D1" s="2"/>
    </row>
    <row r="2" customFormat="false" ht="12.8" hidden="false" customHeight="false" outlineLevel="0" collapsed="false"/>
    <row r="3" customFormat="false" ht="15.75" hidden="false" customHeight="false" outlineLevel="0" collapsed="false">
      <c r="A3" s="1" t="s">
        <v>31</v>
      </c>
      <c r="B3" s="1" t="n">
        <v>110.2</v>
      </c>
      <c r="C3" s="1" t="n">
        <v>110.15</v>
      </c>
      <c r="D3" s="1" t="n">
        <v>110.2</v>
      </c>
      <c r="F3" s="2" t="s">
        <v>32</v>
      </c>
      <c r="G3" s="2"/>
      <c r="H3" s="2"/>
      <c r="I3" s="2"/>
      <c r="J3" s="2" t="s">
        <v>33</v>
      </c>
      <c r="K3" s="2"/>
      <c r="L3" s="2"/>
      <c r="M3" s="2"/>
    </row>
    <row r="4" customFormat="false" ht="13.8" hidden="false" customHeight="false" outlineLevel="0" collapsed="false">
      <c r="A4" s="1" t="s">
        <v>34</v>
      </c>
      <c r="B4" s="1" t="n">
        <v>21.9</v>
      </c>
      <c r="C4" s="1" t="n">
        <v>21.7</v>
      </c>
      <c r="D4" s="1" t="n">
        <v>21.88</v>
      </c>
      <c r="F4" s="1" t="s">
        <v>35</v>
      </c>
      <c r="G4" s="1" t="s">
        <v>36</v>
      </c>
      <c r="H4" s="1" t="s">
        <v>37</v>
      </c>
      <c r="J4" s="1" t="s">
        <v>60</v>
      </c>
      <c r="K4" s="1" t="s">
        <v>36</v>
      </c>
      <c r="L4" s="1" t="s">
        <v>43</v>
      </c>
      <c r="M4" s="1" t="s">
        <v>38</v>
      </c>
    </row>
    <row r="5" customFormat="false" ht="15.75" hidden="false" customHeight="false" outlineLevel="0" collapsed="false">
      <c r="A5" s="1" t="s">
        <v>44</v>
      </c>
      <c r="B5" s="6"/>
      <c r="C5" s="6"/>
      <c r="D5" s="6"/>
      <c r="F5" s="1" t="s">
        <v>61</v>
      </c>
      <c r="G5" s="1" t="n">
        <v>3.62</v>
      </c>
      <c r="H5" s="1" t="n">
        <v>3.87</v>
      </c>
      <c r="J5" s="1" t="s">
        <v>61</v>
      </c>
      <c r="K5" s="1" t="n">
        <v>3.69</v>
      </c>
      <c r="L5" s="1" t="n">
        <v>3.5</v>
      </c>
      <c r="M5" s="1" t="n">
        <v>3.5</v>
      </c>
    </row>
    <row r="6" customFormat="false" ht="15.75" hidden="false" customHeight="false" outlineLevel="0" collapsed="false">
      <c r="B6" s="2" t="s">
        <v>46</v>
      </c>
      <c r="C6" s="2"/>
      <c r="D6" s="2"/>
      <c r="F6" s="1" t="s">
        <v>62</v>
      </c>
      <c r="G6" s="1" t="n">
        <v>3.63</v>
      </c>
      <c r="H6" s="1" t="n">
        <v>3.84</v>
      </c>
      <c r="J6" s="1" t="s">
        <v>62</v>
      </c>
      <c r="K6" s="1" t="n">
        <v>3.78</v>
      </c>
      <c r="L6" s="1" t="n">
        <v>3.69</v>
      </c>
      <c r="M6" s="1" t="n">
        <v>3.5</v>
      </c>
    </row>
    <row r="7" customFormat="false" ht="13.8" hidden="false" customHeight="false" outlineLevel="0" collapsed="false">
      <c r="A7" s="1" t="s">
        <v>48</v>
      </c>
      <c r="B7" s="1" t="n">
        <v>50</v>
      </c>
      <c r="C7" s="1" t="n">
        <v>50.18</v>
      </c>
      <c r="D7" s="1" t="n">
        <v>50</v>
      </c>
      <c r="F7" s="1" t="s">
        <v>63</v>
      </c>
      <c r="G7" s="1" t="n">
        <v>3.5</v>
      </c>
      <c r="H7" s="1" t="n">
        <v>3.78</v>
      </c>
      <c r="J7" s="1" t="s">
        <v>63</v>
      </c>
      <c r="K7" s="1" t="n">
        <v>3.65</v>
      </c>
      <c r="L7" s="1" t="n">
        <v>3.28</v>
      </c>
      <c r="M7" s="1" t="n">
        <v>3.43</v>
      </c>
    </row>
    <row r="8" customFormat="false" ht="13.8" hidden="false" customHeight="false" outlineLevel="0" collapsed="false">
      <c r="A8" s="1" t="s">
        <v>49</v>
      </c>
      <c r="B8" s="1" t="n">
        <v>50</v>
      </c>
      <c r="C8" s="1" t="n">
        <v>50</v>
      </c>
      <c r="D8" s="1" t="n">
        <v>50</v>
      </c>
      <c r="F8" s="1" t="s">
        <v>64</v>
      </c>
      <c r="G8" s="1" t="n">
        <v>3.75</v>
      </c>
      <c r="H8" s="1" t="n">
        <v>3.78</v>
      </c>
      <c r="J8" s="1" t="s">
        <v>64</v>
      </c>
      <c r="K8" s="1" t="n">
        <v>3.62</v>
      </c>
      <c r="L8" s="1" t="n">
        <v>3.41</v>
      </c>
      <c r="M8" s="1" t="n">
        <v>3.81</v>
      </c>
    </row>
    <row r="9" customFormat="false" ht="13.8" hidden="false" customHeight="false" outlineLevel="0" collapsed="false">
      <c r="A9" s="1" t="s">
        <v>50</v>
      </c>
      <c r="B9" s="1" t="n">
        <v>209.8</v>
      </c>
      <c r="C9" s="1" t="n">
        <v>257.2</v>
      </c>
      <c r="D9" s="1" t="n">
        <v>269.8</v>
      </c>
      <c r="F9" s="1" t="s">
        <v>65</v>
      </c>
      <c r="G9" s="1" t="n">
        <v>3.53</v>
      </c>
      <c r="H9" s="1" t="n">
        <v>3.56</v>
      </c>
      <c r="J9" s="1" t="s">
        <v>65</v>
      </c>
      <c r="K9" s="1" t="n">
        <v>3.63</v>
      </c>
      <c r="L9" s="1" t="n">
        <v>3.4</v>
      </c>
      <c r="M9" s="1" t="n">
        <v>3.46</v>
      </c>
    </row>
    <row r="10" customFormat="false" ht="13.8" hidden="false" customHeight="false" outlineLevel="0" collapsed="false">
      <c r="B10" s="2" t="s">
        <v>51</v>
      </c>
      <c r="C10" s="2"/>
      <c r="D10" s="2"/>
      <c r="F10" s="1" t="s">
        <v>66</v>
      </c>
      <c r="G10" s="1" t="n">
        <v>3.65</v>
      </c>
      <c r="H10" s="1" t="n">
        <v>3.69</v>
      </c>
      <c r="J10" s="1" t="s">
        <v>66</v>
      </c>
      <c r="K10" s="1" t="n">
        <v>3.69</v>
      </c>
      <c r="L10" s="1" t="n">
        <v>3.43</v>
      </c>
      <c r="M10" s="1" t="n">
        <v>3.54</v>
      </c>
    </row>
    <row r="11" customFormat="false" ht="13.8" hidden="false" customHeight="false" outlineLevel="0" collapsed="false">
      <c r="A11" s="1" t="s">
        <v>52</v>
      </c>
      <c r="B11" s="1" t="n">
        <v>50.6</v>
      </c>
      <c r="C11" s="1" t="n">
        <v>50.02</v>
      </c>
      <c r="D11" s="1" t="n">
        <v>20.16</v>
      </c>
      <c r="F11" s="1" t="s">
        <v>67</v>
      </c>
      <c r="G11" s="1" t="n">
        <v>3.5</v>
      </c>
      <c r="H11" s="1" t="n">
        <v>3.57</v>
      </c>
      <c r="J11" s="1" t="s">
        <v>67</v>
      </c>
      <c r="K11" s="1" t="n">
        <v>3.63</v>
      </c>
      <c r="L11" s="1" t="n">
        <v>3.63</v>
      </c>
      <c r="M11" s="1" t="n">
        <v>3.83</v>
      </c>
    </row>
    <row r="12" customFormat="false" ht="13.8" hidden="false" customHeight="false" outlineLevel="0" collapsed="false">
      <c r="A12" s="1" t="s">
        <v>49</v>
      </c>
      <c r="B12" s="1" t="n">
        <v>50.1</v>
      </c>
      <c r="C12" s="1" t="n">
        <v>20.23</v>
      </c>
      <c r="D12" s="1" t="n">
        <v>20.28</v>
      </c>
      <c r="F12" s="1" t="s">
        <v>68</v>
      </c>
      <c r="G12" s="1" t="n">
        <v>3.59</v>
      </c>
      <c r="H12" s="1" t="n">
        <v>3.5</v>
      </c>
      <c r="J12" s="1" t="s">
        <v>68</v>
      </c>
      <c r="K12" s="1" t="n">
        <v>3.66</v>
      </c>
      <c r="L12" s="1" t="n">
        <v>3.56</v>
      </c>
      <c r="M12" s="1" t="n">
        <v>3.43</v>
      </c>
    </row>
    <row r="13" customFormat="false" ht="12.8" hidden="false" customHeight="true" outlineLevel="0" collapsed="false">
      <c r="A13" s="1" t="s">
        <v>50</v>
      </c>
      <c r="B13" s="1" t="n">
        <v>834.1</v>
      </c>
      <c r="C13" s="1" t="n">
        <v>834.7</v>
      </c>
      <c r="D13" s="1" t="n">
        <v>834.7</v>
      </c>
      <c r="F13" s="1" t="s">
        <v>69</v>
      </c>
      <c r="G13" s="1" t="n">
        <v>3.59</v>
      </c>
      <c r="H13" s="1" t="n">
        <v>3.75</v>
      </c>
      <c r="J13" s="1" t="s">
        <v>69</v>
      </c>
      <c r="K13" s="1" t="n">
        <v>3.69</v>
      </c>
      <c r="L13" s="1" t="n">
        <v>3.75</v>
      </c>
      <c r="M13" s="1" t="n">
        <v>3.35</v>
      </c>
    </row>
    <row r="14" customFormat="false" ht="15.75" hidden="false" customHeight="false" outlineLevel="0" collapsed="false">
      <c r="F14" s="1" t="s">
        <v>70</v>
      </c>
      <c r="G14" s="1" t="n">
        <v>3.59</v>
      </c>
      <c r="H14" s="1" t="n">
        <v>3.59</v>
      </c>
      <c r="J14" s="1" t="s">
        <v>70</v>
      </c>
      <c r="K14" s="1" t="n">
        <v>3.78</v>
      </c>
      <c r="L14" s="1" t="n">
        <v>3.63</v>
      </c>
      <c r="M14" s="1" t="n">
        <v>3.43</v>
      </c>
    </row>
    <row r="15" customFormat="false" ht="15.75" hidden="false" customHeight="false" outlineLevel="0" collapsed="false">
      <c r="F15" s="1" t="s">
        <v>71</v>
      </c>
      <c r="G15" s="1" t="n">
        <v>3.56</v>
      </c>
      <c r="H15" s="1" t="n">
        <v>3.62</v>
      </c>
      <c r="J15" s="1" t="s">
        <v>71</v>
      </c>
      <c r="K15" s="1" t="n">
        <v>3.69</v>
      </c>
      <c r="L15" s="1" t="n">
        <v>3.56</v>
      </c>
      <c r="M15" s="1" t="n">
        <v>3.41</v>
      </c>
    </row>
    <row r="16" customFormat="false" ht="15.75" hidden="false" customHeight="false" outlineLevel="0" collapsed="false">
      <c r="A16" s="1" t="s">
        <v>53</v>
      </c>
      <c r="C16" s="1" t="s">
        <v>54</v>
      </c>
      <c r="F16" s="1" t="s">
        <v>72</v>
      </c>
      <c r="G16" s="1" t="n">
        <v>3.5</v>
      </c>
      <c r="H16" s="1" t="n">
        <v>3.59</v>
      </c>
      <c r="J16" s="1" t="s">
        <v>72</v>
      </c>
      <c r="K16" s="1" t="n">
        <v>3.53</v>
      </c>
      <c r="L16" s="1" t="n">
        <v>3.34</v>
      </c>
      <c r="M16" s="1" t="n">
        <v>3.81</v>
      </c>
    </row>
    <row r="17" customFormat="false" ht="15.75" hidden="false" customHeight="false" outlineLevel="0" collapsed="false">
      <c r="A17" s="1" t="n">
        <f aca="false">2.24*10^(-2)</f>
        <v>0.0224</v>
      </c>
      <c r="C17" s="1" t="n">
        <v>120.15</v>
      </c>
      <c r="F17" s="1" t="s">
        <v>73</v>
      </c>
      <c r="G17" s="1" t="n">
        <v>3.66</v>
      </c>
      <c r="H17" s="1" t="n">
        <v>3.53</v>
      </c>
      <c r="J17" s="1" t="s">
        <v>73</v>
      </c>
      <c r="K17" s="1" t="n">
        <v>3.5</v>
      </c>
      <c r="L17" s="1" t="n">
        <v>3.6</v>
      </c>
      <c r="M17" s="1" t="n">
        <v>3.8</v>
      </c>
    </row>
    <row r="18" customFormat="false" ht="15.75" hidden="false" customHeight="false" outlineLevel="0" collapsed="false">
      <c r="A18" s="1" t="n">
        <f aca="false">2.21*10^(-2)</f>
        <v>0.0221</v>
      </c>
      <c r="C18" s="1" t="n">
        <v>120.15</v>
      </c>
      <c r="F18" s="1" t="s">
        <v>74</v>
      </c>
      <c r="G18" s="1" t="n">
        <v>3.53</v>
      </c>
      <c r="H18" s="1" t="n">
        <v>3.59</v>
      </c>
      <c r="J18" s="1" t="s">
        <v>74</v>
      </c>
      <c r="K18" s="1" t="n">
        <v>3.62</v>
      </c>
      <c r="L18" s="1" t="n">
        <v>3.65</v>
      </c>
      <c r="M18" s="1" t="n">
        <v>3.5</v>
      </c>
    </row>
    <row r="19" customFormat="false" ht="15.75" hidden="false" customHeight="false" outlineLevel="0" collapsed="false">
      <c r="A19" s="1" t="n">
        <f aca="false">2.136*10^(-2)</f>
        <v>0.02136</v>
      </c>
      <c r="C19" s="1" t="n">
        <v>120.15</v>
      </c>
      <c r="F19" s="1" t="s">
        <v>75</v>
      </c>
      <c r="G19" s="1" t="n">
        <v>3.53</v>
      </c>
      <c r="H19" s="1" t="n">
        <v>3.46</v>
      </c>
      <c r="J19" s="1" t="s">
        <v>75</v>
      </c>
      <c r="K19" s="1" t="n">
        <v>3.65</v>
      </c>
      <c r="L19" s="1" t="n">
        <v>3.5</v>
      </c>
      <c r="M19" s="1" t="n">
        <v>3.5</v>
      </c>
    </row>
    <row r="20" customFormat="false" ht="15.75" hidden="false" customHeight="false" outlineLevel="0" collapsed="false">
      <c r="F20" s="1" t="s">
        <v>76</v>
      </c>
      <c r="G20" s="1" t="n">
        <v>3.5</v>
      </c>
      <c r="H20" s="1" t="n">
        <v>3.56</v>
      </c>
      <c r="J20" s="1" t="s">
        <v>76</v>
      </c>
      <c r="K20" s="1" t="n">
        <v>3.66</v>
      </c>
      <c r="L20" s="1" t="n">
        <v>3.56</v>
      </c>
      <c r="M20" s="1" t="n">
        <v>3.37</v>
      </c>
    </row>
    <row r="21" customFormat="false" ht="15.75" hidden="false" customHeight="false" outlineLevel="0" collapsed="false">
      <c r="A21" s="1" t="s">
        <v>55</v>
      </c>
      <c r="B21" s="8" t="n">
        <f aca="false">ASIN(A17/C17)</f>
        <v>0.000186433625715866</v>
      </c>
      <c r="C21" s="8" t="n">
        <f aca="false">B21*180/PI()</f>
        <v>0.0106818599128408</v>
      </c>
      <c r="F21" s="1" t="s">
        <v>77</v>
      </c>
      <c r="G21" s="1" t="n">
        <v>3.53</v>
      </c>
      <c r="H21" s="1" t="n">
        <v>3.59</v>
      </c>
      <c r="J21" s="1" t="s">
        <v>77</v>
      </c>
      <c r="K21" s="1" t="n">
        <v>3.5</v>
      </c>
      <c r="L21" s="1" t="n">
        <v>3.72</v>
      </c>
      <c r="M21" s="1" t="n">
        <v>3.39</v>
      </c>
    </row>
    <row r="22" customFormat="false" ht="15.75" hidden="false" customHeight="false" outlineLevel="0" collapsed="false">
      <c r="A22" s="1" t="s">
        <v>56</v>
      </c>
      <c r="B22" s="8" t="n">
        <f aca="false">ASIN(A18/C18)</f>
        <v>0.000183936746771679</v>
      </c>
      <c r="C22" s="8" t="n">
        <f aca="false">B22*180/PI()</f>
        <v>0.0105387992873838</v>
      </c>
      <c r="F22" s="1" t="s">
        <v>78</v>
      </c>
      <c r="G22" s="1" t="n">
        <v>3.5</v>
      </c>
      <c r="H22" s="1" t="n">
        <v>3.62</v>
      </c>
      <c r="J22" s="1" t="s">
        <v>78</v>
      </c>
      <c r="K22" s="1" t="n">
        <v>3.6</v>
      </c>
      <c r="L22" s="1" t="n">
        <v>3.82</v>
      </c>
      <c r="M22" s="1" t="n">
        <v>3.56</v>
      </c>
    </row>
    <row r="23" customFormat="false" ht="15.75" hidden="false" customHeight="false" outlineLevel="0" collapsed="false">
      <c r="A23" s="1" t="s">
        <v>57</v>
      </c>
      <c r="B23" s="8" t="n">
        <f aca="false">ASIN(A19/C19)</f>
        <v>0.00017777777871422</v>
      </c>
      <c r="C23" s="8" t="n">
        <f aca="false">B23*180/PI()</f>
        <v>0.0101859164115355</v>
      </c>
      <c r="F23" s="1" t="s">
        <v>79</v>
      </c>
      <c r="G23" s="1" t="n">
        <v>3.56</v>
      </c>
      <c r="H23" s="1" t="n">
        <v>3.5</v>
      </c>
      <c r="J23" s="1" t="s">
        <v>79</v>
      </c>
      <c r="K23" s="1" t="n">
        <v>3.56</v>
      </c>
      <c r="L23" s="1" t="n">
        <v>3.44</v>
      </c>
      <c r="M23" s="1" t="n">
        <v>3.5</v>
      </c>
    </row>
    <row r="24" customFormat="false" ht="15.75" hidden="false" customHeight="false" outlineLevel="0" collapsed="false">
      <c r="F24" s="1" t="s">
        <v>80</v>
      </c>
      <c r="G24" s="1" t="n">
        <v>3.75</v>
      </c>
      <c r="H24" s="1" t="n">
        <v>3.53</v>
      </c>
      <c r="J24" s="1" t="s">
        <v>80</v>
      </c>
      <c r="K24" s="1" t="n">
        <v>3.69</v>
      </c>
      <c r="L24" s="1" t="n">
        <v>3.41</v>
      </c>
      <c r="M24" s="1" t="n">
        <v>3.56</v>
      </c>
    </row>
  </sheetData>
  <mergeCells count="5">
    <mergeCell ref="B1:D1"/>
    <mergeCell ref="F3:I3"/>
    <mergeCell ref="J3:M3"/>
    <mergeCell ref="B6:D6"/>
    <mergeCell ref="B10:D1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F5" activeCellId="0" sqref="F5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B1" s="2" t="s">
        <v>30</v>
      </c>
      <c r="C1" s="2"/>
      <c r="D1" s="2"/>
    </row>
    <row r="2" customFormat="false" ht="15.75" hidden="false" customHeight="false" outlineLevel="0" collapsed="false">
      <c r="G2" s="1"/>
    </row>
    <row r="3" customFormat="false" ht="15.75" hidden="false" customHeight="false" outlineLevel="0" collapsed="false">
      <c r="A3" s="1" t="s">
        <v>31</v>
      </c>
      <c r="B3" s="1" t="n">
        <v>93.8</v>
      </c>
      <c r="C3" s="1" t="n">
        <v>93.9</v>
      </c>
      <c r="D3" s="1" t="n">
        <v>93.9</v>
      </c>
      <c r="E3" s="1" t="n">
        <v>93.9</v>
      </c>
      <c r="F3" s="1" t="n">
        <v>93.9</v>
      </c>
      <c r="H3" s="3" t="s">
        <v>32</v>
      </c>
      <c r="I3" s="3"/>
      <c r="J3" s="3"/>
      <c r="K3" s="3"/>
      <c r="L3" s="3"/>
      <c r="M3" s="3"/>
      <c r="N3" s="3"/>
      <c r="O3" s="6"/>
      <c r="P3" s="4" t="s">
        <v>33</v>
      </c>
      <c r="Q3" s="4"/>
      <c r="R3" s="4"/>
      <c r="S3" s="4"/>
      <c r="T3" s="4"/>
      <c r="U3" s="4"/>
      <c r="V3" s="4"/>
    </row>
    <row r="4" customFormat="false" ht="13.8" hidden="false" customHeight="false" outlineLevel="0" collapsed="false">
      <c r="A4" s="1" t="s">
        <v>34</v>
      </c>
      <c r="B4" s="1" t="n">
        <v>3.6</v>
      </c>
      <c r="C4" s="1" t="n">
        <v>3.6</v>
      </c>
      <c r="D4" s="1" t="n">
        <v>3.6</v>
      </c>
      <c r="E4" s="1" t="n">
        <v>3.6</v>
      </c>
      <c r="F4" s="1" t="n">
        <v>3.6</v>
      </c>
      <c r="H4" s="1" t="s">
        <v>35</v>
      </c>
      <c r="I4" s="1" t="s">
        <v>36</v>
      </c>
      <c r="J4" s="1" t="s">
        <v>37</v>
      </c>
      <c r="K4" s="1" t="s">
        <v>38</v>
      </c>
      <c r="L4" s="1" t="s">
        <v>39</v>
      </c>
      <c r="M4" s="5" t="s">
        <v>40</v>
      </c>
      <c r="N4" s="5" t="s">
        <v>41</v>
      </c>
      <c r="O4" s="1"/>
      <c r="P4" s="1" t="s">
        <v>42</v>
      </c>
      <c r="Q4" s="1" t="s">
        <v>36</v>
      </c>
      <c r="R4" s="1" t="s">
        <v>43</v>
      </c>
      <c r="S4" s="1" t="s">
        <v>38</v>
      </c>
      <c r="T4" s="1" t="s">
        <v>39</v>
      </c>
      <c r="U4" s="5" t="s">
        <v>40</v>
      </c>
      <c r="V4" s="5" t="s">
        <v>41</v>
      </c>
    </row>
    <row r="5" customFormat="false" ht="15.75" hidden="false" customHeight="false" outlineLevel="0" collapsed="false">
      <c r="A5" s="1" t="s">
        <v>44</v>
      </c>
      <c r="B5" s="6" t="n">
        <v>48</v>
      </c>
      <c r="C5" s="6" t="n">
        <v>48</v>
      </c>
      <c r="D5" s="6" t="n">
        <v>48</v>
      </c>
      <c r="E5" s="1" t="n">
        <v>49</v>
      </c>
      <c r="F5" s="1" t="n">
        <v>48</v>
      </c>
      <c r="H5" s="5" t="s">
        <v>45</v>
      </c>
      <c r="I5" s="5"/>
      <c r="J5" s="5"/>
      <c r="K5" s="7"/>
      <c r="L5" s="5"/>
      <c r="M5" s="5"/>
      <c r="N5" s="5"/>
      <c r="O5" s="5"/>
      <c r="P5" s="5" t="s">
        <v>45</v>
      </c>
      <c r="Q5" s="7"/>
      <c r="R5" s="7"/>
      <c r="S5" s="7"/>
      <c r="T5" s="7"/>
    </row>
    <row r="6" customFormat="false" ht="15.75" hidden="false" customHeight="false" outlineLevel="0" collapsed="false">
      <c r="B6" s="2" t="s">
        <v>46</v>
      </c>
      <c r="C6" s="2"/>
      <c r="D6" s="2"/>
      <c r="H6" s="5" t="n">
        <v>1</v>
      </c>
      <c r="I6" s="9" t="n">
        <v>3.09</v>
      </c>
      <c r="J6" s="9" t="n">
        <v>3.12</v>
      </c>
      <c r="K6" s="9" t="n">
        <v>2.93</v>
      </c>
      <c r="L6" s="9" t="n">
        <v>3</v>
      </c>
      <c r="M6" s="9" t="n">
        <v>3.04</v>
      </c>
      <c r="N6" s="9"/>
      <c r="O6" s="5"/>
      <c r="P6" s="5" t="n">
        <v>1</v>
      </c>
      <c r="Q6" s="9" t="n">
        <v>2.56</v>
      </c>
      <c r="R6" s="9" t="n">
        <v>2.75</v>
      </c>
      <c r="S6" s="9" t="n">
        <v>2.97</v>
      </c>
      <c r="T6" s="9" t="n">
        <v>3.06</v>
      </c>
      <c r="U6" s="9" t="n">
        <v>2.88</v>
      </c>
      <c r="V6" s="9" t="n">
        <v>2.56</v>
      </c>
    </row>
    <row r="7" customFormat="false" ht="13.8" hidden="false" customHeight="false" outlineLevel="0" collapsed="false">
      <c r="A7" s="1" t="s">
        <v>48</v>
      </c>
      <c r="B7" s="1" t="n">
        <v>4.98</v>
      </c>
      <c r="C7" s="1" t="n">
        <v>5</v>
      </c>
      <c r="D7" s="1" t="n">
        <v>5</v>
      </c>
      <c r="E7" s="1" t="n">
        <v>4.99</v>
      </c>
      <c r="F7" s="1" t="n">
        <v>4.98</v>
      </c>
      <c r="H7" s="5" t="n">
        <v>2</v>
      </c>
      <c r="I7" s="9" t="n">
        <v>3.04</v>
      </c>
      <c r="J7" s="9" t="n">
        <v>3.57</v>
      </c>
      <c r="K7" s="9" t="n">
        <v>2.72</v>
      </c>
      <c r="L7" s="9" t="n">
        <v>2.97</v>
      </c>
      <c r="M7" s="9" t="n">
        <v>3.03</v>
      </c>
      <c r="N7" s="9"/>
      <c r="O7" s="5"/>
      <c r="P7" s="5" t="n">
        <v>2</v>
      </c>
      <c r="Q7" s="9" t="n">
        <v>2.84</v>
      </c>
      <c r="R7" s="9" t="n">
        <v>3</v>
      </c>
      <c r="S7" s="9" t="n">
        <v>3</v>
      </c>
      <c r="T7" s="9" t="n">
        <v>2.91</v>
      </c>
      <c r="U7" s="9" t="n">
        <v>2.87</v>
      </c>
      <c r="V7" s="9" t="n">
        <v>3.09</v>
      </c>
    </row>
    <row r="8" customFormat="false" ht="13.8" hidden="false" customHeight="false" outlineLevel="0" collapsed="false">
      <c r="A8" s="1" t="s">
        <v>49</v>
      </c>
      <c r="B8" s="1" t="n">
        <v>5</v>
      </c>
      <c r="C8" s="1" t="n">
        <v>5</v>
      </c>
      <c r="D8" s="1" t="n">
        <v>5</v>
      </c>
      <c r="E8" s="1" t="n">
        <v>5</v>
      </c>
      <c r="F8" s="1" t="n">
        <v>5</v>
      </c>
      <c r="H8" s="5" t="n">
        <v>3</v>
      </c>
      <c r="I8" s="9" t="n">
        <v>3.03</v>
      </c>
      <c r="J8" s="9" t="n">
        <v>3.31</v>
      </c>
      <c r="K8" s="9" t="n">
        <v>2.91</v>
      </c>
      <c r="L8" s="9" t="n">
        <v>3.18</v>
      </c>
      <c r="M8" s="9" t="n">
        <v>3</v>
      </c>
      <c r="N8" s="9"/>
      <c r="O8" s="5"/>
      <c r="P8" s="5" t="n">
        <v>3</v>
      </c>
      <c r="Q8" s="9" t="n">
        <v>3</v>
      </c>
      <c r="R8" s="9" t="n">
        <v>2.84</v>
      </c>
      <c r="S8" s="9" t="n">
        <v>2.94</v>
      </c>
      <c r="T8" s="9" t="n">
        <v>2.87</v>
      </c>
      <c r="U8" s="9" t="n">
        <v>2.78</v>
      </c>
      <c r="V8" s="9" t="n">
        <v>3.09</v>
      </c>
    </row>
    <row r="9" customFormat="false" ht="13.8" hidden="false" customHeight="false" outlineLevel="0" collapsed="false">
      <c r="A9" s="1" t="s">
        <v>50</v>
      </c>
      <c r="B9" s="1" t="n">
        <v>265.8</v>
      </c>
      <c r="C9" s="1" t="n">
        <v>265.8</v>
      </c>
      <c r="D9" s="1" t="n">
        <v>265.8</v>
      </c>
      <c r="E9" s="1" t="n">
        <v>265.8</v>
      </c>
      <c r="F9" s="1" t="n">
        <v>265.8</v>
      </c>
      <c r="H9" s="5" t="n">
        <v>4</v>
      </c>
      <c r="I9" s="9" t="n">
        <v>2.97</v>
      </c>
      <c r="J9" s="9" t="n">
        <v>3.34</v>
      </c>
      <c r="K9" s="9" t="n">
        <v>3.16</v>
      </c>
      <c r="L9" s="9" t="n">
        <v>3.08</v>
      </c>
      <c r="M9" s="9" t="n">
        <v>2.97</v>
      </c>
      <c r="N9" s="9"/>
      <c r="O9" s="5"/>
      <c r="P9" s="5" t="n">
        <v>4</v>
      </c>
      <c r="Q9" s="9" t="n">
        <v>2.88</v>
      </c>
      <c r="R9" s="9" t="n">
        <v>3.06</v>
      </c>
      <c r="S9" s="9" t="n">
        <v>3</v>
      </c>
      <c r="T9" s="9" t="n">
        <v>3</v>
      </c>
      <c r="U9" s="9" t="n">
        <v>2.94</v>
      </c>
      <c r="V9" s="9" t="n">
        <v>2.94</v>
      </c>
    </row>
    <row r="10" customFormat="false" ht="13.8" hidden="false" customHeight="false" outlineLevel="0" collapsed="false">
      <c r="B10" s="2" t="s">
        <v>51</v>
      </c>
      <c r="C10" s="2"/>
      <c r="D10" s="2"/>
      <c r="H10" s="5" t="n">
        <v>5</v>
      </c>
      <c r="I10" s="9" t="n">
        <v>3.22</v>
      </c>
      <c r="J10" s="9" t="n">
        <v>3.12</v>
      </c>
      <c r="K10" s="9" t="n">
        <v>3.19</v>
      </c>
      <c r="L10" s="9" t="n">
        <v>3</v>
      </c>
      <c r="M10" s="9" t="n">
        <v>3.12</v>
      </c>
      <c r="N10" s="9"/>
      <c r="O10" s="5"/>
      <c r="P10" s="5" t="n">
        <v>5</v>
      </c>
      <c r="Q10" s="9" t="n">
        <v>2.99</v>
      </c>
      <c r="R10" s="9" t="n">
        <v>2.66</v>
      </c>
      <c r="S10" s="9" t="n">
        <v>2.97</v>
      </c>
      <c r="T10" s="9" t="n">
        <v>3</v>
      </c>
      <c r="U10" s="9" t="n">
        <v>2.94</v>
      </c>
      <c r="V10" s="9" t="n">
        <v>2.94</v>
      </c>
    </row>
    <row r="11" customFormat="false" ht="13.8" hidden="false" customHeight="false" outlineLevel="0" collapsed="false">
      <c r="A11" s="1" t="s">
        <v>52</v>
      </c>
      <c r="B11" s="1" t="n">
        <v>5.01</v>
      </c>
      <c r="C11" s="1" t="n">
        <v>5</v>
      </c>
      <c r="D11" s="1" t="n">
        <v>5</v>
      </c>
      <c r="E11" s="1" t="n">
        <v>4.99</v>
      </c>
      <c r="F11" s="1" t="n">
        <v>4.99</v>
      </c>
      <c r="G11" s="1"/>
      <c r="H11" s="5" t="n">
        <v>6</v>
      </c>
      <c r="I11" s="9" t="n">
        <v>3.06</v>
      </c>
      <c r="J11" s="9" t="n">
        <v>3.19</v>
      </c>
      <c r="K11" s="9" t="n">
        <v>3.22</v>
      </c>
      <c r="L11" s="9" t="n">
        <v>3.09</v>
      </c>
      <c r="M11" s="9" t="n">
        <v>2.94</v>
      </c>
      <c r="N11" s="9"/>
      <c r="O11" s="5"/>
      <c r="P11" s="5" t="n">
        <v>6</v>
      </c>
      <c r="Q11" s="9" t="n">
        <v>2.53</v>
      </c>
      <c r="R11" s="9" t="n">
        <v>2.94</v>
      </c>
      <c r="S11" s="9" t="n">
        <v>2.87</v>
      </c>
      <c r="T11" s="9" t="n">
        <v>2.9</v>
      </c>
      <c r="U11" s="9" t="n">
        <v>2.94</v>
      </c>
      <c r="V11" s="9" t="n">
        <v>2.94</v>
      </c>
    </row>
    <row r="12" customFormat="false" ht="13.8" hidden="false" customHeight="false" outlineLevel="0" collapsed="false">
      <c r="A12" s="1" t="s">
        <v>49</v>
      </c>
      <c r="B12" s="1" t="n">
        <v>5.01</v>
      </c>
      <c r="C12" s="1" t="n">
        <v>5.01</v>
      </c>
      <c r="D12" s="1" t="n">
        <v>5.02</v>
      </c>
      <c r="E12" s="1" t="n">
        <v>5</v>
      </c>
      <c r="F12" s="1" t="n">
        <v>5</v>
      </c>
      <c r="G12" s="1"/>
      <c r="H12" s="5" t="n">
        <v>7</v>
      </c>
      <c r="I12" s="9" t="n">
        <v>3.16</v>
      </c>
      <c r="J12" s="9" t="n">
        <v>3.28</v>
      </c>
      <c r="K12" s="9" t="n">
        <v>3.34</v>
      </c>
      <c r="L12" s="9" t="n">
        <v>3.07</v>
      </c>
      <c r="M12" s="9" t="n">
        <v>3</v>
      </c>
      <c r="N12" s="9"/>
      <c r="O12" s="5"/>
      <c r="P12" s="5" t="n">
        <v>7</v>
      </c>
      <c r="Q12" s="9" t="n">
        <v>2.68</v>
      </c>
      <c r="R12" s="9" t="n">
        <v>3.06</v>
      </c>
      <c r="S12" s="9" t="n">
        <v>3.16</v>
      </c>
      <c r="T12" s="9" t="n">
        <v>2.97</v>
      </c>
      <c r="U12" s="9" t="n">
        <v>3.04</v>
      </c>
      <c r="V12" s="9" t="n">
        <v>3.04</v>
      </c>
    </row>
    <row r="13" customFormat="false" ht="13.8" hidden="false" customHeight="false" outlineLevel="0" collapsed="false">
      <c r="A13" s="1" t="s">
        <v>50</v>
      </c>
      <c r="B13" s="1" t="n">
        <v>834.7</v>
      </c>
      <c r="C13" s="1" t="n">
        <v>834.7</v>
      </c>
      <c r="D13" s="1" t="n">
        <v>834.7</v>
      </c>
      <c r="E13" s="1" t="n">
        <v>834.7</v>
      </c>
      <c r="F13" s="1" t="n">
        <v>834.6</v>
      </c>
      <c r="G13" s="1"/>
      <c r="H13" s="5" t="n">
        <v>8</v>
      </c>
      <c r="I13" s="9" t="n">
        <v>3.09</v>
      </c>
      <c r="J13" s="9" t="n">
        <v>3.25</v>
      </c>
      <c r="K13" s="9" t="n">
        <v>3.22</v>
      </c>
      <c r="L13" s="9" t="n">
        <v>3</v>
      </c>
      <c r="M13" s="9" t="n">
        <v>2.91</v>
      </c>
      <c r="N13" s="9"/>
      <c r="O13" s="5"/>
      <c r="P13" s="5" t="n">
        <v>8</v>
      </c>
      <c r="Q13" s="9" t="n">
        <v>2.91</v>
      </c>
      <c r="R13" s="9" t="n">
        <v>2.91</v>
      </c>
      <c r="S13" s="9" t="n">
        <v>2.91</v>
      </c>
      <c r="T13" s="9" t="n">
        <v>2.9</v>
      </c>
      <c r="U13" s="9" t="n">
        <v>2.82</v>
      </c>
      <c r="V13" s="9" t="n">
        <v>2.82</v>
      </c>
    </row>
    <row r="14" customFormat="false" ht="15.75" hidden="false" customHeight="false" outlineLevel="0" collapsed="false">
      <c r="H14" s="5" t="n">
        <v>9</v>
      </c>
      <c r="I14" s="9" t="n">
        <v>3</v>
      </c>
      <c r="J14" s="9" t="n">
        <v>3.25</v>
      </c>
      <c r="K14" s="9" t="n">
        <v>3.1</v>
      </c>
      <c r="L14" s="9" t="n">
        <v>3</v>
      </c>
      <c r="M14" s="9" t="n">
        <v>3.06</v>
      </c>
      <c r="N14" s="9"/>
      <c r="O14" s="5"/>
      <c r="P14" s="5" t="n">
        <v>9</v>
      </c>
      <c r="Q14" s="9" t="n">
        <v>2.81</v>
      </c>
      <c r="R14" s="9" t="n">
        <v>2.87</v>
      </c>
      <c r="S14" s="9" t="n">
        <v>2.87</v>
      </c>
      <c r="T14" s="9" t="n">
        <v>2.87</v>
      </c>
      <c r="U14" s="9" t="n">
        <v>2.94</v>
      </c>
      <c r="V14" s="9" t="n">
        <v>2.94</v>
      </c>
    </row>
    <row r="15" customFormat="false" ht="15.75" hidden="false" customHeight="false" outlineLevel="0" collapsed="false">
      <c r="H15" s="5" t="n">
        <v>10</v>
      </c>
      <c r="I15" s="9" t="n">
        <v>3.19</v>
      </c>
      <c r="J15" s="9" t="n">
        <v>3.43</v>
      </c>
      <c r="K15" s="9" t="n">
        <v>3.19</v>
      </c>
      <c r="L15" s="9" t="n">
        <v>3.03</v>
      </c>
      <c r="M15" s="9" t="n">
        <v>3.09</v>
      </c>
      <c r="N15" s="9"/>
      <c r="O15" s="5"/>
      <c r="P15" s="5" t="n">
        <v>10</v>
      </c>
      <c r="Q15" s="9" t="n">
        <v>3.06</v>
      </c>
      <c r="R15" s="9" t="n">
        <v>2.84</v>
      </c>
      <c r="S15" s="9" t="n">
        <v>3.16</v>
      </c>
      <c r="T15" s="9" t="n">
        <v>2.37</v>
      </c>
      <c r="U15" s="9" t="n">
        <v>3.03</v>
      </c>
      <c r="V15" s="9" t="n">
        <v>3.03</v>
      </c>
    </row>
    <row r="16" customFormat="false" ht="15.75" hidden="false" customHeight="false" outlineLevel="0" collapsed="false">
      <c r="A16" s="1" t="s">
        <v>53</v>
      </c>
      <c r="C16" s="1" t="s">
        <v>54</v>
      </c>
      <c r="H16" s="5" t="n">
        <v>11</v>
      </c>
      <c r="I16" s="9" t="n">
        <v>2.88</v>
      </c>
      <c r="J16" s="9" t="n">
        <v>3.22</v>
      </c>
      <c r="K16" s="9" t="n">
        <v>3.19</v>
      </c>
      <c r="L16" s="9" t="n">
        <v>2.97</v>
      </c>
      <c r="M16" s="9" t="n">
        <v>3.04</v>
      </c>
      <c r="N16" s="9"/>
      <c r="O16" s="5"/>
      <c r="P16" s="5" t="n">
        <v>11</v>
      </c>
      <c r="Q16" s="9" t="n">
        <v>2.9</v>
      </c>
      <c r="R16" s="9" t="n">
        <v>2.84</v>
      </c>
      <c r="S16" s="9" t="n">
        <v>3.21</v>
      </c>
      <c r="T16" s="9" t="n">
        <v>3</v>
      </c>
      <c r="U16" s="9" t="n">
        <v>3.3</v>
      </c>
      <c r="V16" s="9" t="n">
        <v>3.3</v>
      </c>
    </row>
    <row r="17" customFormat="false" ht="15.75" hidden="false" customHeight="false" outlineLevel="0" collapsed="false">
      <c r="A17" s="1" t="n">
        <v>0.0336</v>
      </c>
      <c r="C17" s="1" t="n">
        <v>93.8</v>
      </c>
      <c r="H17" s="5" t="n">
        <v>12</v>
      </c>
      <c r="I17" s="9" t="n">
        <v>2.87</v>
      </c>
      <c r="J17" s="9" t="n">
        <v>3.28</v>
      </c>
      <c r="K17" s="9" t="n">
        <v>3.16</v>
      </c>
      <c r="L17" s="9" t="n">
        <v>3.03</v>
      </c>
      <c r="M17" s="9" t="n">
        <v>3.13</v>
      </c>
      <c r="N17" s="9"/>
      <c r="O17" s="5"/>
      <c r="P17" s="5" t="n">
        <v>12</v>
      </c>
      <c r="Q17" s="9" t="n">
        <v>2.97</v>
      </c>
      <c r="R17" s="9" t="n">
        <v>3</v>
      </c>
      <c r="S17" s="9" t="n">
        <v>3.34</v>
      </c>
      <c r="T17" s="9" t="n">
        <v>2.96</v>
      </c>
      <c r="U17" s="9" t="n">
        <v>2.78</v>
      </c>
      <c r="V17" s="9" t="n">
        <v>2.78</v>
      </c>
    </row>
    <row r="18" customFormat="false" ht="15.75" hidden="false" customHeight="false" outlineLevel="0" collapsed="false">
      <c r="A18" s="1" t="n">
        <v>0.036</v>
      </c>
      <c r="C18" s="1" t="n">
        <v>93.9</v>
      </c>
      <c r="H18" s="5" t="n">
        <v>13</v>
      </c>
      <c r="I18" s="9" t="n">
        <v>3.06</v>
      </c>
      <c r="J18" s="9" t="n">
        <v>3.18</v>
      </c>
      <c r="K18" s="9" t="n">
        <v>3.1</v>
      </c>
      <c r="L18" s="9" t="n">
        <v>3.1</v>
      </c>
      <c r="M18" s="9" t="n">
        <v>3.06</v>
      </c>
      <c r="N18" s="9"/>
      <c r="O18" s="5"/>
      <c r="P18" s="5" t="n">
        <v>13</v>
      </c>
      <c r="Q18" s="9" t="n">
        <v>3</v>
      </c>
      <c r="R18" s="9" t="n">
        <v>2.77</v>
      </c>
      <c r="S18" s="9" t="n">
        <v>3.25</v>
      </c>
      <c r="T18" s="9" t="n">
        <v>2.97</v>
      </c>
      <c r="U18" s="9" t="n">
        <v>3.32</v>
      </c>
      <c r="V18" s="9" t="n">
        <v>3.32</v>
      </c>
    </row>
    <row r="19" customFormat="false" ht="15.75" hidden="false" customHeight="false" outlineLevel="0" collapsed="false">
      <c r="A19" s="1" t="n">
        <v>0.036</v>
      </c>
      <c r="C19" s="1" t="n">
        <v>93.9</v>
      </c>
      <c r="H19" s="5" t="n">
        <v>14</v>
      </c>
      <c r="I19" s="9" t="n">
        <v>3.25</v>
      </c>
      <c r="J19" s="9" t="n">
        <v>3.22</v>
      </c>
      <c r="K19" s="9" t="n">
        <v>3.19</v>
      </c>
      <c r="L19" s="9" t="n">
        <v>3.22</v>
      </c>
      <c r="M19" s="9" t="n">
        <v>2.28</v>
      </c>
      <c r="N19" s="9"/>
      <c r="O19" s="5"/>
      <c r="P19" s="5" t="n">
        <v>14</v>
      </c>
      <c r="Q19" s="9" t="n">
        <v>2.72</v>
      </c>
      <c r="R19" s="9" t="n">
        <v>2.78</v>
      </c>
      <c r="S19" s="9" t="n">
        <v>3.06</v>
      </c>
      <c r="T19" s="9" t="n">
        <v>2.78</v>
      </c>
      <c r="U19" s="9" t="n">
        <v>2.82</v>
      </c>
      <c r="V19" s="9" t="n">
        <v>2.82</v>
      </c>
    </row>
    <row r="20" customFormat="false" ht="15.75" hidden="false" customHeight="false" outlineLevel="0" collapsed="false">
      <c r="A20" s="1" t="n">
        <v>0.036</v>
      </c>
      <c r="C20" s="1" t="n">
        <v>93.9</v>
      </c>
      <c r="H20" s="5" t="n">
        <v>15</v>
      </c>
      <c r="I20" s="9" t="n">
        <v>2.97</v>
      </c>
      <c r="J20" s="9" t="n">
        <v>3.16</v>
      </c>
      <c r="K20" s="9" t="n">
        <v>3.06</v>
      </c>
      <c r="L20" s="9" t="n">
        <v>3.1</v>
      </c>
      <c r="M20" s="9" t="n">
        <v>2.93</v>
      </c>
      <c r="N20" s="9"/>
      <c r="O20" s="5"/>
      <c r="P20" s="5" t="n">
        <v>15</v>
      </c>
      <c r="Q20" s="9" t="n">
        <v>3.06</v>
      </c>
      <c r="R20" s="9" t="n">
        <v>2.94</v>
      </c>
      <c r="S20" s="9" t="n">
        <v>3.1</v>
      </c>
      <c r="T20" s="9" t="n">
        <v>2.94</v>
      </c>
      <c r="U20" s="9" t="n">
        <v>2.93</v>
      </c>
      <c r="V20" s="9" t="n">
        <v>2.93</v>
      </c>
    </row>
    <row r="21" customFormat="false" ht="15.75" hidden="false" customHeight="false" outlineLevel="0" collapsed="false">
      <c r="A21" s="1" t="n">
        <v>0.036</v>
      </c>
      <c r="C21" s="1" t="n">
        <v>93.9</v>
      </c>
      <c r="H21" s="5" t="n">
        <v>16</v>
      </c>
      <c r="I21" s="9" t="n">
        <v>3.09</v>
      </c>
      <c r="J21" s="9" t="n">
        <v>3.29</v>
      </c>
      <c r="K21" s="9" t="n">
        <v>3.09</v>
      </c>
      <c r="L21" s="9" t="n">
        <v>2.97</v>
      </c>
      <c r="M21" s="9" t="n">
        <v>2.91</v>
      </c>
      <c r="N21" s="9"/>
      <c r="O21" s="5"/>
      <c r="P21" s="5" t="n">
        <v>16</v>
      </c>
      <c r="Q21" s="9" t="n">
        <v>2.84</v>
      </c>
      <c r="R21" s="9" t="n">
        <v>3.32</v>
      </c>
      <c r="S21" s="9" t="n">
        <v>3.03</v>
      </c>
      <c r="T21" s="9" t="n">
        <v>2.94</v>
      </c>
      <c r="U21" s="9" t="n">
        <v>2.94</v>
      </c>
      <c r="V21" s="9" t="n">
        <v>2.94</v>
      </c>
    </row>
    <row r="22" customFormat="false" ht="15.75" hidden="false" customHeight="false" outlineLevel="0" collapsed="false">
      <c r="H22" s="5" t="n">
        <v>17</v>
      </c>
      <c r="I22" s="9" t="n">
        <v>3.13</v>
      </c>
      <c r="J22" s="9" t="n">
        <v>3.13</v>
      </c>
      <c r="K22" s="9" t="n">
        <v>3.02</v>
      </c>
      <c r="L22" s="9" t="n">
        <v>3.1</v>
      </c>
      <c r="M22" s="9" t="n">
        <v>2.85</v>
      </c>
      <c r="N22" s="9"/>
      <c r="O22" s="5"/>
      <c r="P22" s="5" t="n">
        <v>17</v>
      </c>
      <c r="Q22" s="9" t="n">
        <v>2.81</v>
      </c>
      <c r="R22" s="9" t="n">
        <v>3.03</v>
      </c>
      <c r="S22" s="9" t="n">
        <v>3.19</v>
      </c>
      <c r="T22" s="9" t="n">
        <v>3</v>
      </c>
      <c r="U22" s="9" t="n">
        <v>3</v>
      </c>
      <c r="V22" s="9" t="n">
        <v>3</v>
      </c>
    </row>
    <row r="23" customFormat="false" ht="15.75" hidden="false" customHeight="false" outlineLevel="0" collapsed="false">
      <c r="A23" s="1" t="s">
        <v>55</v>
      </c>
      <c r="B23" s="8" t="n">
        <f aca="false">ASIN(A17/C17)</f>
        <v>0.000358208962884398</v>
      </c>
      <c r="C23" s="8" t="n">
        <f aca="false">B23*180/PI()</f>
        <v>0.0205238617570343</v>
      </c>
      <c r="H23" s="5" t="n">
        <v>18</v>
      </c>
      <c r="I23" s="9" t="n">
        <v>3.03</v>
      </c>
      <c r="J23" s="9" t="n">
        <v>3.38</v>
      </c>
      <c r="K23" s="9" t="n">
        <v>3.06</v>
      </c>
      <c r="L23" s="9" t="n">
        <v>3.03</v>
      </c>
      <c r="M23" s="9" t="n">
        <v>2.75</v>
      </c>
      <c r="N23" s="9"/>
      <c r="O23" s="5"/>
      <c r="P23" s="5" t="n">
        <v>18</v>
      </c>
      <c r="Q23" s="9" t="n">
        <v>2.83</v>
      </c>
      <c r="R23" s="9" t="n">
        <v>2.82</v>
      </c>
      <c r="S23" s="9" t="n">
        <v>2.94</v>
      </c>
      <c r="T23" s="9" t="n">
        <v>3.03</v>
      </c>
      <c r="U23" s="9" t="n">
        <v>2.94</v>
      </c>
      <c r="V23" s="9" t="n">
        <v>2.94</v>
      </c>
    </row>
    <row r="24" customFormat="false" ht="15.75" hidden="false" customHeight="false" outlineLevel="0" collapsed="false">
      <c r="A24" s="1" t="s">
        <v>56</v>
      </c>
      <c r="B24" s="8" t="n">
        <f aca="false">ASIN(A18/C18)</f>
        <v>0.000383386590861679</v>
      </c>
      <c r="C24" s="8" t="n">
        <f aca="false">B24*180/PI()</f>
        <v>0.0219664335782831</v>
      </c>
      <c r="H24" s="5" t="n">
        <v>19</v>
      </c>
      <c r="I24" s="9" t="n">
        <v>3.06</v>
      </c>
      <c r="J24" s="9" t="n">
        <v>3.41</v>
      </c>
      <c r="K24" s="9" t="n">
        <v>3.19</v>
      </c>
      <c r="L24" s="9" t="n">
        <v>3.19</v>
      </c>
      <c r="M24" s="9" t="n">
        <v>2.82</v>
      </c>
      <c r="N24" s="9"/>
      <c r="O24" s="5"/>
      <c r="P24" s="5" t="n">
        <v>19</v>
      </c>
      <c r="Q24" s="9" t="n">
        <v>3.13</v>
      </c>
      <c r="R24" s="9" t="n">
        <v>3.02</v>
      </c>
      <c r="S24" s="9" t="n">
        <v>2.97</v>
      </c>
      <c r="T24" s="9" t="n">
        <v>2.97</v>
      </c>
      <c r="U24" s="9" t="n">
        <v>2.81</v>
      </c>
      <c r="V24" s="9" t="n">
        <v>3.07</v>
      </c>
    </row>
    <row r="25" customFormat="false" ht="15.75" hidden="false" customHeight="false" outlineLevel="0" collapsed="false">
      <c r="A25" s="1" t="s">
        <v>57</v>
      </c>
      <c r="B25" s="8" t="n">
        <f aca="false">ASIN(A19/C19)</f>
        <v>0.000383386590861679</v>
      </c>
      <c r="C25" s="8" t="n">
        <f aca="false">B25*180/PI()</f>
        <v>0.0219664335782831</v>
      </c>
      <c r="H25" s="5" t="n">
        <v>20</v>
      </c>
      <c r="I25" s="9" t="n">
        <v>3</v>
      </c>
      <c r="J25" s="9" t="n">
        <v>3.12</v>
      </c>
      <c r="K25" s="9" t="n">
        <v>3.25</v>
      </c>
      <c r="L25" s="9" t="n">
        <v>3.09</v>
      </c>
      <c r="M25" s="9" t="n">
        <v>3</v>
      </c>
      <c r="N25" s="9"/>
      <c r="O25" s="5"/>
      <c r="P25" s="5" t="n">
        <v>20</v>
      </c>
      <c r="Q25" s="9" t="n">
        <v>3.03</v>
      </c>
      <c r="R25" s="9" t="n">
        <v>2.99</v>
      </c>
      <c r="S25" s="9" t="n">
        <v>3.15</v>
      </c>
      <c r="T25" s="9" t="n">
        <v>2.97</v>
      </c>
      <c r="U25" s="9" t="n">
        <v>2.97</v>
      </c>
      <c r="V25" s="9" t="n">
        <v>3.06</v>
      </c>
    </row>
    <row r="26" customFormat="false" ht="15.75" hidden="false" customHeight="false" outlineLevel="0" collapsed="false">
      <c r="A26" s="1" t="s">
        <v>58</v>
      </c>
      <c r="B26" s="8" t="n">
        <f aca="false">ASIN(A20/C20)</f>
        <v>0.000383386590861679</v>
      </c>
      <c r="C26" s="8" t="n">
        <f aca="false">B26*180/PI()</f>
        <v>0.0219664335782831</v>
      </c>
    </row>
    <row r="27" customFormat="false" ht="15.75" hidden="false" customHeight="false" outlineLevel="0" collapsed="false">
      <c r="A27" s="1" t="s">
        <v>59</v>
      </c>
      <c r="B27" s="8" t="n">
        <f aca="false">ASIN(A21/C21)</f>
        <v>0.000383386590861679</v>
      </c>
      <c r="C27" s="8" t="n">
        <f aca="false">B27*180/PI()</f>
        <v>0.0219664335782831</v>
      </c>
    </row>
    <row r="38" customFormat="false" ht="15.75" hidden="false" customHeight="false" outlineLevel="0" collapsed="false">
      <c r="F38" s="10"/>
      <c r="G38" s="10"/>
      <c r="H38" s="10"/>
      <c r="I38" s="10"/>
      <c r="J38" s="10"/>
      <c r="K38" s="10"/>
      <c r="L38" s="10"/>
      <c r="M38" s="10"/>
      <c r="N38" s="10"/>
      <c r="O38" s="10"/>
    </row>
    <row r="39" customFormat="false" ht="15.75" hidden="false" customHeight="false" outlineLevel="0" collapsed="false"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customFormat="false" ht="15.75" hidden="false" customHeight="false" outlineLevel="0" collapsed="false"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 customFormat="false" ht="15.75" hidden="false" customHeight="false" outlineLevel="0" collapsed="false"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customFormat="false" ht="15.75" hidden="false" customHeight="false" outlineLevel="0" collapsed="false">
      <c r="F42" s="10"/>
      <c r="G42" s="10"/>
      <c r="H42" s="10"/>
      <c r="I42" s="10"/>
      <c r="J42" s="10"/>
      <c r="K42" s="10"/>
      <c r="L42" s="10"/>
      <c r="M42" s="10"/>
      <c r="N42" s="10"/>
      <c r="O42" s="10"/>
    </row>
    <row r="43" customFormat="false" ht="15.75" hidden="false" customHeight="false" outlineLevel="0" collapsed="false">
      <c r="F43" s="10"/>
      <c r="G43" s="10"/>
      <c r="H43" s="10"/>
      <c r="I43" s="10"/>
      <c r="J43" s="10"/>
      <c r="K43" s="10"/>
      <c r="L43" s="10"/>
      <c r="M43" s="10"/>
      <c r="N43" s="10"/>
      <c r="O43" s="10"/>
    </row>
  </sheetData>
  <mergeCells count="5">
    <mergeCell ref="B1:D1"/>
    <mergeCell ref="H3:N3"/>
    <mergeCell ref="P3:V3"/>
    <mergeCell ref="B6:D6"/>
    <mergeCell ref="B10:D1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4857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S5" activeCellId="0" sqref="S5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B1" s="2" t="s">
        <v>30</v>
      </c>
      <c r="C1" s="2"/>
      <c r="D1" s="2"/>
    </row>
    <row r="2" customFormat="false" ht="15.75" hidden="false" customHeight="false" outlineLevel="0" collapsed="false">
      <c r="B2" s="7"/>
      <c r="C2" s="7"/>
      <c r="D2" s="7"/>
      <c r="G2" s="1"/>
    </row>
    <row r="3" customFormat="false" ht="15.75" hidden="false" customHeight="false" outlineLevel="0" collapsed="false">
      <c r="A3" s="1" t="s">
        <v>31</v>
      </c>
      <c r="B3" s="1" t="n">
        <v>95.6</v>
      </c>
      <c r="C3" s="1" t="n">
        <v>95.6</v>
      </c>
      <c r="D3" s="1" t="n">
        <v>95.6</v>
      </c>
      <c r="E3" s="0" t="n">
        <f aca="false">AVERAGE(B3:D3)</f>
        <v>95.6</v>
      </c>
      <c r="H3" s="3" t="s">
        <v>32</v>
      </c>
      <c r="I3" s="3"/>
      <c r="J3" s="3"/>
      <c r="K3" s="3"/>
      <c r="L3" s="3"/>
      <c r="M3" s="3"/>
      <c r="N3" s="3"/>
      <c r="O3" s="6"/>
      <c r="P3" s="4" t="s">
        <v>33</v>
      </c>
      <c r="Q3" s="4"/>
      <c r="R3" s="4"/>
      <c r="S3" s="4"/>
      <c r="T3" s="4"/>
      <c r="U3" s="4"/>
      <c r="V3" s="4"/>
    </row>
    <row r="4" customFormat="false" ht="15.75" hidden="false" customHeight="false" outlineLevel="0" collapsed="false">
      <c r="A4" s="1" t="s">
        <v>34</v>
      </c>
      <c r="B4" s="1" t="n">
        <v>3.8</v>
      </c>
      <c r="C4" s="1" t="n">
        <v>3.78</v>
      </c>
      <c r="D4" s="1" t="n">
        <v>3.79</v>
      </c>
      <c r="H4" s="1" t="s">
        <v>35</v>
      </c>
      <c r="I4" s="1" t="s">
        <v>36</v>
      </c>
      <c r="J4" s="1" t="s">
        <v>37</v>
      </c>
      <c r="K4" s="1" t="s">
        <v>38</v>
      </c>
      <c r="L4" s="1" t="s">
        <v>39</v>
      </c>
      <c r="M4" s="5" t="s">
        <v>40</v>
      </c>
      <c r="N4" s="5" t="s">
        <v>41</v>
      </c>
      <c r="O4" s="1"/>
      <c r="P4" s="1" t="s">
        <v>42</v>
      </c>
      <c r="Q4" s="1" t="s">
        <v>36</v>
      </c>
      <c r="R4" s="1" t="s">
        <v>43</v>
      </c>
      <c r="S4" s="1" t="s">
        <v>38</v>
      </c>
      <c r="T4" s="1" t="s">
        <v>39</v>
      </c>
      <c r="U4" s="5" t="s">
        <v>40</v>
      </c>
      <c r="V4" s="5" t="s">
        <v>41</v>
      </c>
    </row>
    <row r="5" customFormat="false" ht="15.75" hidden="false" customHeight="false" outlineLevel="0" collapsed="false">
      <c r="A5" s="1" t="s">
        <v>44</v>
      </c>
      <c r="B5" s="6" t="n">
        <v>1.22</v>
      </c>
      <c r="C5" s="6" t="n">
        <v>1.4</v>
      </c>
      <c r="D5" s="6" t="n">
        <v>1.06</v>
      </c>
      <c r="H5" s="5" t="s">
        <v>45</v>
      </c>
      <c r="I5" s="5"/>
      <c r="J5" s="5"/>
      <c r="K5" s="7"/>
      <c r="L5" s="5"/>
      <c r="M5" s="5"/>
      <c r="N5" s="5"/>
      <c r="O5" s="5"/>
      <c r="P5" s="5" t="s">
        <v>45</v>
      </c>
      <c r="Q5" s="7"/>
      <c r="R5" s="7"/>
      <c r="S5" s="7"/>
      <c r="T5" s="5"/>
      <c r="U5" s="5"/>
      <c r="V5" s="5"/>
    </row>
    <row r="6" customFormat="false" ht="15.75" hidden="false" customHeight="false" outlineLevel="0" collapsed="false">
      <c r="B6" s="2" t="s">
        <v>46</v>
      </c>
      <c r="C6" s="2"/>
      <c r="D6" s="2"/>
      <c r="H6" s="5" t="n">
        <v>1</v>
      </c>
      <c r="I6" s="7" t="n">
        <v>3.66</v>
      </c>
      <c r="J6" s="7" t="n">
        <v>3.71</v>
      </c>
      <c r="K6" s="5" t="n">
        <v>3.58</v>
      </c>
      <c r="L6" s="5" t="s">
        <v>47</v>
      </c>
      <c r="M6" s="5" t="s">
        <v>47</v>
      </c>
      <c r="N6" s="5" t="s">
        <v>47</v>
      </c>
      <c r="O6" s="5"/>
      <c r="P6" s="5" t="n">
        <v>1</v>
      </c>
      <c r="Q6" s="5" t="n">
        <v>3.59</v>
      </c>
      <c r="R6" s="5" t="n">
        <v>3.66</v>
      </c>
      <c r="S6" s="5" t="n">
        <v>3.5</v>
      </c>
      <c r="T6" s="5" t="s">
        <v>47</v>
      </c>
      <c r="U6" s="5" t="s">
        <v>47</v>
      </c>
      <c r="V6" s="5" t="s">
        <v>47</v>
      </c>
    </row>
    <row r="7" customFormat="false" ht="13.8" hidden="false" customHeight="false" outlineLevel="0" collapsed="false">
      <c r="A7" s="1" t="s">
        <v>48</v>
      </c>
      <c r="B7" s="1" t="n">
        <v>5</v>
      </c>
      <c r="C7" s="1" t="n">
        <v>5</v>
      </c>
      <c r="D7" s="1" t="n">
        <v>5</v>
      </c>
      <c r="H7" s="5" t="n">
        <v>2</v>
      </c>
      <c r="I7" s="5" t="n">
        <v>3.17</v>
      </c>
      <c r="J7" s="7" t="n">
        <v>3.53</v>
      </c>
      <c r="K7" s="5" t="n">
        <v>3.53</v>
      </c>
      <c r="L7" s="5" t="s">
        <v>47</v>
      </c>
      <c r="M7" s="5" t="s">
        <v>47</v>
      </c>
      <c r="N7" s="5" t="s">
        <v>47</v>
      </c>
      <c r="O7" s="5"/>
      <c r="P7" s="5" t="n">
        <v>2</v>
      </c>
      <c r="Q7" s="5" t="n">
        <v>3.59</v>
      </c>
      <c r="R7" s="5" t="n">
        <v>3.21</v>
      </c>
      <c r="S7" s="7" t="n">
        <v>3.59</v>
      </c>
      <c r="T7" s="5" t="s">
        <v>47</v>
      </c>
      <c r="U7" s="5" t="s">
        <v>47</v>
      </c>
      <c r="V7" s="5" t="s">
        <v>47</v>
      </c>
    </row>
    <row r="8" customFormat="false" ht="13.8" hidden="false" customHeight="false" outlineLevel="0" collapsed="false">
      <c r="A8" s="1" t="s">
        <v>49</v>
      </c>
      <c r="B8" s="1" t="n">
        <v>5.01</v>
      </c>
      <c r="C8" s="1" t="n">
        <v>5.01</v>
      </c>
      <c r="D8" s="1" t="n">
        <v>5.01</v>
      </c>
      <c r="H8" s="5" t="n">
        <v>3</v>
      </c>
      <c r="I8" s="7" t="n">
        <v>3.47</v>
      </c>
      <c r="J8" s="7" t="n">
        <v>3.47</v>
      </c>
      <c r="K8" s="7" t="n">
        <v>3.69</v>
      </c>
      <c r="L8" s="5" t="s">
        <v>47</v>
      </c>
      <c r="M8" s="5" t="s">
        <v>47</v>
      </c>
      <c r="N8" s="5" t="s">
        <v>47</v>
      </c>
      <c r="O8" s="5"/>
      <c r="P8" s="5" t="n">
        <v>3</v>
      </c>
      <c r="Q8" s="5" t="n">
        <v>3.51</v>
      </c>
      <c r="R8" s="5" t="n">
        <v>3.5</v>
      </c>
      <c r="S8" s="5" t="n">
        <v>3.53</v>
      </c>
      <c r="T8" s="5" t="s">
        <v>47</v>
      </c>
      <c r="U8" s="5" t="s">
        <v>47</v>
      </c>
      <c r="V8" s="5" t="s">
        <v>47</v>
      </c>
    </row>
    <row r="9" customFormat="false" ht="13.8" hidden="false" customHeight="false" outlineLevel="0" collapsed="false">
      <c r="A9" s="1" t="s">
        <v>50</v>
      </c>
      <c r="B9" s="1" t="n">
        <v>265.1</v>
      </c>
      <c r="C9" s="1" t="n">
        <v>265.1</v>
      </c>
      <c r="D9" s="1" t="n">
        <v>265.1</v>
      </c>
      <c r="H9" s="5" t="n">
        <v>4</v>
      </c>
      <c r="I9" s="7" t="n">
        <v>3.53</v>
      </c>
      <c r="J9" s="7" t="n">
        <v>3.59</v>
      </c>
      <c r="K9" s="7" t="n">
        <v>3.72</v>
      </c>
      <c r="L9" s="5" t="s">
        <v>47</v>
      </c>
      <c r="M9" s="5" t="s">
        <v>47</v>
      </c>
      <c r="N9" s="5" t="s">
        <v>47</v>
      </c>
      <c r="O9" s="5"/>
      <c r="P9" s="5" t="n">
        <v>4</v>
      </c>
      <c r="Q9" s="5" t="n">
        <v>3.42</v>
      </c>
      <c r="R9" s="5" t="n">
        <v>3.5</v>
      </c>
      <c r="S9" s="5" t="n">
        <v>3.5</v>
      </c>
      <c r="T9" s="5" t="s">
        <v>47</v>
      </c>
      <c r="U9" s="5" t="s">
        <v>47</v>
      </c>
      <c r="V9" s="5" t="s">
        <v>47</v>
      </c>
    </row>
    <row r="10" customFormat="false" ht="13.8" hidden="false" customHeight="false" outlineLevel="0" collapsed="false">
      <c r="B10" s="2" t="s">
        <v>51</v>
      </c>
      <c r="C10" s="2"/>
      <c r="D10" s="2"/>
      <c r="H10" s="5" t="n">
        <v>5</v>
      </c>
      <c r="I10" s="7" t="n">
        <v>3.53</v>
      </c>
      <c r="J10" s="7" t="n">
        <v>3.5</v>
      </c>
      <c r="K10" s="7" t="n">
        <v>3.75</v>
      </c>
      <c r="L10" s="5" t="s">
        <v>47</v>
      </c>
      <c r="M10" s="5" t="s">
        <v>47</v>
      </c>
      <c r="N10" s="5" t="s">
        <v>47</v>
      </c>
      <c r="O10" s="5"/>
      <c r="P10" s="5" t="n">
        <v>5</v>
      </c>
      <c r="Q10" s="5" t="n">
        <v>3.44</v>
      </c>
      <c r="R10" s="5" t="n">
        <v>3.34</v>
      </c>
      <c r="S10" s="5" t="n">
        <v>3.53</v>
      </c>
      <c r="T10" s="5" t="s">
        <v>47</v>
      </c>
      <c r="U10" s="5" t="s">
        <v>47</v>
      </c>
      <c r="V10" s="5" t="s">
        <v>47</v>
      </c>
    </row>
    <row r="11" customFormat="false" ht="13.8" hidden="false" customHeight="false" outlineLevel="0" collapsed="false">
      <c r="A11" s="1" t="s">
        <v>52</v>
      </c>
      <c r="B11" s="1" t="n">
        <v>4.98</v>
      </c>
      <c r="C11" s="1" t="n">
        <v>4.98</v>
      </c>
      <c r="D11" s="1" t="n">
        <v>4.98</v>
      </c>
      <c r="H11" s="5" t="n">
        <v>6</v>
      </c>
      <c r="I11" s="7" t="n">
        <v>3.63</v>
      </c>
      <c r="J11" s="7" t="n">
        <v>3.41</v>
      </c>
      <c r="K11" s="7" t="n">
        <v>3.59</v>
      </c>
      <c r="L11" s="5" t="s">
        <v>47</v>
      </c>
      <c r="M11" s="5" t="s">
        <v>47</v>
      </c>
      <c r="N11" s="5" t="s">
        <v>47</v>
      </c>
      <c r="O11" s="5"/>
      <c r="P11" s="5" t="n">
        <v>6</v>
      </c>
      <c r="Q11" s="5" t="n">
        <v>3.43</v>
      </c>
      <c r="R11" s="5" t="n">
        <v>3.53</v>
      </c>
      <c r="S11" s="5" t="n">
        <v>3.53</v>
      </c>
      <c r="T11" s="5" t="s">
        <v>47</v>
      </c>
      <c r="U11" s="5" t="s">
        <v>47</v>
      </c>
      <c r="V11" s="5" t="s">
        <v>47</v>
      </c>
    </row>
    <row r="12" customFormat="false" ht="13.8" hidden="false" customHeight="false" outlineLevel="0" collapsed="false">
      <c r="A12" s="1" t="s">
        <v>49</v>
      </c>
      <c r="B12" s="1" t="n">
        <v>5.01</v>
      </c>
      <c r="C12" s="1" t="n">
        <v>5.01</v>
      </c>
      <c r="D12" s="1" t="n">
        <v>5.02</v>
      </c>
      <c r="H12" s="5" t="n">
        <v>7</v>
      </c>
      <c r="I12" s="7" t="n">
        <v>3.56</v>
      </c>
      <c r="J12" s="7" t="n">
        <v>3.53</v>
      </c>
      <c r="K12" s="5" t="n">
        <v>3.53</v>
      </c>
      <c r="L12" s="5" t="s">
        <v>47</v>
      </c>
      <c r="M12" s="5" t="s">
        <v>47</v>
      </c>
      <c r="N12" s="5" t="s">
        <v>47</v>
      </c>
      <c r="O12" s="5"/>
      <c r="P12" s="5" t="n">
        <v>7</v>
      </c>
      <c r="Q12" s="5" t="n">
        <v>3.34</v>
      </c>
      <c r="R12" s="5" t="n">
        <v>3.42</v>
      </c>
      <c r="S12" s="5" t="n">
        <v>3.53</v>
      </c>
      <c r="T12" s="5" t="s">
        <v>47</v>
      </c>
      <c r="U12" s="5" t="s">
        <v>47</v>
      </c>
      <c r="V12" s="5" t="s">
        <v>47</v>
      </c>
    </row>
    <row r="13" customFormat="false" ht="13.8" hidden="false" customHeight="false" outlineLevel="0" collapsed="false">
      <c r="A13" s="1" t="s">
        <v>50</v>
      </c>
      <c r="B13" s="1" t="n">
        <v>821.7</v>
      </c>
      <c r="C13" s="1" t="n">
        <v>821.7</v>
      </c>
      <c r="D13" s="1" t="n">
        <v>821.7</v>
      </c>
      <c r="H13" s="5" t="n">
        <v>8</v>
      </c>
      <c r="I13" s="5" t="n">
        <v>3.13</v>
      </c>
      <c r="J13" s="7" t="n">
        <v>3.55</v>
      </c>
      <c r="K13" s="7" t="n">
        <v>3.62</v>
      </c>
      <c r="L13" s="5" t="s">
        <v>47</v>
      </c>
      <c r="M13" s="5" t="s">
        <v>47</v>
      </c>
      <c r="N13" s="5" t="s">
        <v>47</v>
      </c>
      <c r="O13" s="5"/>
      <c r="P13" s="5" t="n">
        <v>8</v>
      </c>
      <c r="Q13" s="5" t="n">
        <v>3.53</v>
      </c>
      <c r="R13" s="5" t="n">
        <v>3.52</v>
      </c>
      <c r="S13" s="5" t="n">
        <v>3.53</v>
      </c>
      <c r="T13" s="5" t="s">
        <v>47</v>
      </c>
      <c r="U13" s="5" t="s">
        <v>47</v>
      </c>
      <c r="V13" s="5" t="s">
        <v>47</v>
      </c>
    </row>
    <row r="14" customFormat="false" ht="15.75" hidden="false" customHeight="false" outlineLevel="0" collapsed="false">
      <c r="H14" s="5" t="n">
        <v>9</v>
      </c>
      <c r="I14" s="7" t="n">
        <v>3.59</v>
      </c>
      <c r="J14" s="7" t="n">
        <v>3.53</v>
      </c>
      <c r="K14" s="7" t="n">
        <v>3.6</v>
      </c>
      <c r="L14" s="5" t="s">
        <v>47</v>
      </c>
      <c r="M14" s="5" t="s">
        <v>47</v>
      </c>
      <c r="N14" s="5" t="s">
        <v>47</v>
      </c>
      <c r="O14" s="5"/>
      <c r="P14" s="5" t="n">
        <v>9</v>
      </c>
      <c r="Q14" s="5" t="n">
        <v>3.66</v>
      </c>
      <c r="R14" s="5" t="n">
        <v>3.13</v>
      </c>
      <c r="S14" s="5" t="n">
        <v>3.6</v>
      </c>
      <c r="T14" s="5" t="s">
        <v>47</v>
      </c>
      <c r="U14" s="5" t="s">
        <v>47</v>
      </c>
      <c r="V14" s="5" t="s">
        <v>47</v>
      </c>
    </row>
    <row r="15" customFormat="false" ht="15.75" hidden="false" customHeight="false" outlineLevel="0" collapsed="false">
      <c r="H15" s="5" t="n">
        <v>10</v>
      </c>
      <c r="I15" s="7" t="n">
        <v>3.56</v>
      </c>
      <c r="J15" s="7" t="n">
        <v>3.59</v>
      </c>
      <c r="K15" s="7" t="n">
        <v>3.5</v>
      </c>
      <c r="L15" s="5" t="s">
        <v>47</v>
      </c>
      <c r="M15" s="5" t="s">
        <v>47</v>
      </c>
      <c r="N15" s="5" t="s">
        <v>47</v>
      </c>
      <c r="O15" s="5"/>
      <c r="P15" s="5" t="n">
        <v>10</v>
      </c>
      <c r="Q15" s="5" t="n">
        <v>3.6</v>
      </c>
      <c r="R15" s="5" t="n">
        <v>3.44</v>
      </c>
      <c r="S15" s="5" t="n">
        <v>3.53</v>
      </c>
      <c r="T15" s="5" t="s">
        <v>47</v>
      </c>
      <c r="U15" s="5" t="s">
        <v>47</v>
      </c>
      <c r="V15" s="5" t="s">
        <v>47</v>
      </c>
    </row>
    <row r="16" customFormat="false" ht="15.75" hidden="false" customHeight="false" outlineLevel="0" collapsed="false">
      <c r="A16" s="1" t="s">
        <v>53</v>
      </c>
      <c r="C16" s="1" t="s">
        <v>54</v>
      </c>
      <c r="H16" s="5" t="n">
        <v>11</v>
      </c>
      <c r="I16" s="7" t="n">
        <v>3.6</v>
      </c>
      <c r="J16" s="7" t="n">
        <v>3.56</v>
      </c>
      <c r="K16" s="7" t="n">
        <v>3.5</v>
      </c>
      <c r="L16" s="5" t="s">
        <v>47</v>
      </c>
      <c r="M16" s="5" t="s">
        <v>47</v>
      </c>
      <c r="N16" s="5" t="s">
        <v>47</v>
      </c>
      <c r="O16" s="5"/>
      <c r="P16" s="5" t="n">
        <v>11</v>
      </c>
      <c r="Q16" s="5" t="n">
        <v>3.57</v>
      </c>
      <c r="R16" s="5" t="n">
        <v>3.65</v>
      </c>
      <c r="S16" s="5" t="n">
        <v>3.53</v>
      </c>
      <c r="T16" s="5" t="s">
        <v>47</v>
      </c>
      <c r="U16" s="5" t="s">
        <v>47</v>
      </c>
      <c r="V16" s="5" t="s">
        <v>47</v>
      </c>
    </row>
    <row r="17" customFormat="false" ht="15.75" hidden="false" customHeight="false" outlineLevel="0" collapsed="false">
      <c r="A17" s="1" t="n">
        <v>0.038</v>
      </c>
      <c r="C17" s="1" t="n">
        <v>95.6</v>
      </c>
      <c r="H17" s="5" t="n">
        <v>12</v>
      </c>
      <c r="I17" s="7" t="n">
        <v>3.53</v>
      </c>
      <c r="J17" s="7" t="n">
        <v>3.5</v>
      </c>
      <c r="K17" s="7" t="n">
        <v>3.59</v>
      </c>
      <c r="L17" s="5" t="s">
        <v>47</v>
      </c>
      <c r="M17" s="5" t="s">
        <v>47</v>
      </c>
      <c r="N17" s="5" t="s">
        <v>47</v>
      </c>
      <c r="O17" s="5"/>
      <c r="P17" s="5" t="n">
        <v>12</v>
      </c>
      <c r="Q17" s="5" t="n">
        <v>3.5</v>
      </c>
      <c r="R17" s="5" t="n">
        <v>3.43</v>
      </c>
      <c r="S17" s="5" t="n">
        <v>3.6</v>
      </c>
      <c r="T17" s="5" t="s">
        <v>47</v>
      </c>
      <c r="U17" s="5" t="s">
        <v>47</v>
      </c>
      <c r="V17" s="5" t="s">
        <v>47</v>
      </c>
    </row>
    <row r="18" customFormat="false" ht="15.75" hidden="false" customHeight="false" outlineLevel="0" collapsed="false">
      <c r="A18" s="1" t="n">
        <v>0.0378</v>
      </c>
      <c r="C18" s="1" t="n">
        <v>95.6</v>
      </c>
      <c r="H18" s="5" t="n">
        <v>13</v>
      </c>
      <c r="I18" s="7" t="n">
        <v>3.43</v>
      </c>
      <c r="J18" s="7" t="n">
        <v>3.63</v>
      </c>
      <c r="K18" s="7" t="n">
        <v>3.47</v>
      </c>
      <c r="L18" s="5" t="s">
        <v>47</v>
      </c>
      <c r="M18" s="5" t="s">
        <v>47</v>
      </c>
      <c r="N18" s="5" t="s">
        <v>47</v>
      </c>
      <c r="O18" s="5"/>
      <c r="P18" s="5" t="n">
        <v>13</v>
      </c>
      <c r="Q18" s="5" t="n">
        <v>3.57</v>
      </c>
      <c r="R18" s="5" t="n">
        <v>3.48</v>
      </c>
      <c r="S18" s="5" t="n">
        <v>3.63</v>
      </c>
      <c r="T18" s="5" t="s">
        <v>47</v>
      </c>
      <c r="U18" s="5" t="s">
        <v>47</v>
      </c>
      <c r="V18" s="5" t="s">
        <v>47</v>
      </c>
    </row>
    <row r="19" customFormat="false" ht="15.75" hidden="false" customHeight="false" outlineLevel="0" collapsed="false">
      <c r="A19" s="1" t="n">
        <v>0.0379</v>
      </c>
      <c r="C19" s="1" t="n">
        <v>95.6</v>
      </c>
      <c r="H19" s="5" t="n">
        <v>14</v>
      </c>
      <c r="I19" s="7" t="n">
        <v>3.65</v>
      </c>
      <c r="J19" s="7" t="n">
        <v>3.63</v>
      </c>
      <c r="K19" s="5" t="n">
        <v>3.53</v>
      </c>
      <c r="L19" s="5" t="s">
        <v>47</v>
      </c>
      <c r="M19" s="5" t="s">
        <v>47</v>
      </c>
      <c r="N19" s="5" t="s">
        <v>47</v>
      </c>
      <c r="O19" s="5"/>
      <c r="P19" s="5" t="n">
        <v>14</v>
      </c>
      <c r="Q19" s="5" t="n">
        <v>3.59</v>
      </c>
      <c r="R19" s="5" t="n">
        <v>3.4</v>
      </c>
      <c r="S19" s="5" t="n">
        <v>3.56</v>
      </c>
      <c r="T19" s="5" t="s">
        <v>47</v>
      </c>
      <c r="U19" s="5" t="s">
        <v>47</v>
      </c>
      <c r="V19" s="5" t="s">
        <v>47</v>
      </c>
    </row>
    <row r="20" customFormat="false" ht="15.75" hidden="false" customHeight="false" outlineLevel="0" collapsed="false">
      <c r="A20" s="1" t="n">
        <v>0.0211</v>
      </c>
      <c r="C20" s="1" t="n">
        <v>93.9</v>
      </c>
      <c r="H20" s="5" t="n">
        <v>15</v>
      </c>
      <c r="I20" s="7" t="n">
        <v>3.57</v>
      </c>
      <c r="J20" s="5" t="n">
        <v>3.55</v>
      </c>
      <c r="K20" s="7" t="n">
        <v>3.31</v>
      </c>
      <c r="L20" s="5" t="s">
        <v>47</v>
      </c>
      <c r="M20" s="5" t="s">
        <v>47</v>
      </c>
      <c r="N20" s="5" t="s">
        <v>47</v>
      </c>
      <c r="O20" s="5"/>
      <c r="P20" s="5" t="n">
        <v>15</v>
      </c>
      <c r="Q20" s="5" t="n">
        <v>3.51</v>
      </c>
      <c r="R20" s="5" t="n">
        <v>3.56</v>
      </c>
      <c r="S20" s="5" t="n">
        <v>3.55</v>
      </c>
      <c r="T20" s="5" t="s">
        <v>47</v>
      </c>
      <c r="U20" s="5" t="s">
        <v>47</v>
      </c>
      <c r="V20" s="5" t="s">
        <v>47</v>
      </c>
    </row>
    <row r="21" customFormat="false" ht="15.75" hidden="false" customHeight="false" outlineLevel="0" collapsed="false">
      <c r="A21" s="1" t="n">
        <v>0.0212</v>
      </c>
      <c r="C21" s="1" t="n">
        <v>93.9</v>
      </c>
      <c r="H21" s="5" t="n">
        <v>16</v>
      </c>
      <c r="I21" s="7" t="n">
        <v>3.62</v>
      </c>
      <c r="J21" s="5" t="n">
        <v>3.55</v>
      </c>
      <c r="K21" s="7" t="n">
        <v>3.44</v>
      </c>
      <c r="L21" s="5" t="s">
        <v>47</v>
      </c>
      <c r="M21" s="5" t="s">
        <v>47</v>
      </c>
      <c r="N21" s="5" t="s">
        <v>47</v>
      </c>
      <c r="O21" s="5"/>
      <c r="P21" s="5" t="n">
        <v>16</v>
      </c>
      <c r="Q21" s="5" t="n">
        <v>3.59</v>
      </c>
      <c r="R21" s="5" t="n">
        <v>3.59</v>
      </c>
      <c r="S21" s="5" t="n">
        <v>3.7</v>
      </c>
      <c r="T21" s="5" t="s">
        <v>47</v>
      </c>
      <c r="U21" s="5" t="s">
        <v>47</v>
      </c>
      <c r="V21" s="5" t="s">
        <v>47</v>
      </c>
    </row>
    <row r="22" customFormat="false" ht="15.75" hidden="false" customHeight="false" outlineLevel="0" collapsed="false">
      <c r="H22" s="5" t="n">
        <v>17</v>
      </c>
      <c r="I22" s="7" t="n">
        <v>3.66</v>
      </c>
      <c r="J22" s="7" t="n">
        <v>3.62</v>
      </c>
      <c r="K22" s="7" t="n">
        <v>3.31</v>
      </c>
      <c r="L22" s="5" t="s">
        <v>47</v>
      </c>
      <c r="M22" s="5" t="s">
        <v>47</v>
      </c>
      <c r="N22" s="5" t="s">
        <v>47</v>
      </c>
      <c r="O22" s="5"/>
      <c r="P22" s="5" t="n">
        <v>17</v>
      </c>
      <c r="Q22" s="5" t="n">
        <v>3.5</v>
      </c>
      <c r="R22" s="5" t="n">
        <v>3.64</v>
      </c>
      <c r="S22" s="5" t="n">
        <v>3.53</v>
      </c>
      <c r="T22" s="5" t="s">
        <v>47</v>
      </c>
      <c r="U22" s="5" t="s">
        <v>47</v>
      </c>
      <c r="V22" s="5" t="s">
        <v>47</v>
      </c>
    </row>
    <row r="23" customFormat="false" ht="15.75" hidden="false" customHeight="false" outlineLevel="0" collapsed="false">
      <c r="A23" s="1" t="s">
        <v>55</v>
      </c>
      <c r="B23" s="8" t="n">
        <f aca="false">ASIN(A17/C17)</f>
        <v>0.000397489550216042</v>
      </c>
      <c r="C23" s="8" t="n">
        <f aca="false">B23*180/PI()</f>
        <v>0.0227744736279326</v>
      </c>
      <c r="H23" s="5" t="n">
        <v>18</v>
      </c>
      <c r="I23" s="7" t="n">
        <v>3.62</v>
      </c>
      <c r="J23" s="5" t="n">
        <v>3.55</v>
      </c>
      <c r="K23" s="7" t="n">
        <v>3.43</v>
      </c>
      <c r="L23" s="5" t="s">
        <v>47</v>
      </c>
      <c r="M23" s="5" t="s">
        <v>47</v>
      </c>
      <c r="N23" s="5" t="s">
        <v>47</v>
      </c>
      <c r="O23" s="5"/>
      <c r="P23" s="5" t="n">
        <v>18</v>
      </c>
      <c r="Q23" s="5" t="n">
        <v>3.53</v>
      </c>
      <c r="R23" s="5" t="n">
        <v>3.5</v>
      </c>
      <c r="S23" s="5" t="n">
        <v>3.53</v>
      </c>
      <c r="T23" s="5" t="s">
        <v>47</v>
      </c>
      <c r="U23" s="5" t="s">
        <v>47</v>
      </c>
      <c r="V23" s="5" t="s">
        <v>47</v>
      </c>
    </row>
    <row r="24" customFormat="false" ht="15.75" hidden="false" customHeight="false" outlineLevel="0" collapsed="false">
      <c r="A24" s="1" t="s">
        <v>56</v>
      </c>
      <c r="B24" s="8" t="n">
        <f aca="false">ASIN(A18/C18)</f>
        <v>0.000395397499842436</v>
      </c>
      <c r="C24" s="8" t="n">
        <f aca="false">B24*180/PI()</f>
        <v>0.0226546079709962</v>
      </c>
      <c r="H24" s="5" t="n">
        <v>19</v>
      </c>
      <c r="I24" s="7" t="n">
        <v>3.43</v>
      </c>
      <c r="J24" s="5" t="n">
        <v>3.55</v>
      </c>
      <c r="K24" s="5" t="n">
        <v>3.53</v>
      </c>
      <c r="L24" s="5" t="s">
        <v>47</v>
      </c>
      <c r="M24" s="5" t="s">
        <v>47</v>
      </c>
      <c r="N24" s="5" t="s">
        <v>47</v>
      </c>
      <c r="O24" s="5"/>
      <c r="P24" s="5" t="n">
        <v>19</v>
      </c>
      <c r="Q24" s="5" t="n">
        <v>3.56</v>
      </c>
      <c r="R24" s="5" t="n">
        <v>3.5</v>
      </c>
      <c r="S24" s="7" t="n">
        <v>3.59</v>
      </c>
      <c r="T24" s="5" t="s">
        <v>47</v>
      </c>
      <c r="U24" s="5" t="s">
        <v>47</v>
      </c>
      <c r="V24" s="5" t="s">
        <v>47</v>
      </c>
    </row>
    <row r="25" customFormat="false" ht="15.75" hidden="false" customHeight="false" outlineLevel="0" collapsed="false">
      <c r="A25" s="1" t="s">
        <v>57</v>
      </c>
      <c r="B25" s="8" t="n">
        <f aca="false">ASIN(A19/C19)</f>
        <v>0.000396443525029022</v>
      </c>
      <c r="C25" s="8" t="n">
        <f aca="false">B25*180/PI()</f>
        <v>0.022714540799452</v>
      </c>
      <c r="H25" s="5" t="n">
        <v>20</v>
      </c>
      <c r="I25" s="7" t="n">
        <v>3.5</v>
      </c>
      <c r="J25" s="5" t="n">
        <v>3.55</v>
      </c>
      <c r="K25" s="7" t="n">
        <v>3.44</v>
      </c>
      <c r="L25" s="5" t="s">
        <v>47</v>
      </c>
      <c r="M25" s="5" t="s">
        <v>47</v>
      </c>
      <c r="N25" s="5" t="s">
        <v>47</v>
      </c>
      <c r="O25" s="5"/>
      <c r="P25" s="5" t="n">
        <v>20</v>
      </c>
      <c r="Q25" s="5" t="n">
        <v>3.61</v>
      </c>
      <c r="R25" s="5" t="n">
        <v>3.5</v>
      </c>
      <c r="S25" s="5" t="n">
        <v>3.54</v>
      </c>
      <c r="T25" s="5" t="s">
        <v>47</v>
      </c>
      <c r="U25" s="5" t="s">
        <v>47</v>
      </c>
      <c r="V25" s="5" t="s">
        <v>47</v>
      </c>
    </row>
    <row r="26" customFormat="false" ht="15.75" hidden="false" customHeight="false" outlineLevel="0" collapsed="false">
      <c r="A26" s="1" t="s">
        <v>58</v>
      </c>
      <c r="B26" s="8" t="n">
        <f aca="false">ASIN(A20/C20)</f>
        <v>0.0002247071371413</v>
      </c>
      <c r="C26" s="8" t="n">
        <f aca="false">B26*180/PI()</f>
        <v>0.0128747705846639</v>
      </c>
    </row>
    <row r="27" customFormat="false" ht="15.75" hidden="false" customHeight="false" outlineLevel="0" collapsed="false">
      <c r="A27" s="1" t="s">
        <v>59</v>
      </c>
      <c r="B27" s="8" t="n">
        <f aca="false">ASIN(A21/C21)</f>
        <v>0.000225772099894619</v>
      </c>
      <c r="C27" s="8" t="n">
        <f aca="false">B27*180/PI()</f>
        <v>0.0129357884557677</v>
      </c>
    </row>
    <row r="1048576" customFormat="false" ht="12.8" hidden="false" customHeight="false" outlineLevel="0" collapsed="false"/>
  </sheetData>
  <mergeCells count="5">
    <mergeCell ref="B1:D1"/>
    <mergeCell ref="H3:N3"/>
    <mergeCell ref="P3:V3"/>
    <mergeCell ref="B6:D6"/>
    <mergeCell ref="B10:D1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G6" activeCellId="0" sqref="G6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B1" s="2" t="s">
        <v>30</v>
      </c>
      <c r="C1" s="2"/>
      <c r="D1" s="2"/>
    </row>
    <row r="2" customFormat="false" ht="15.75" hidden="false" customHeight="false" outlineLevel="0" collapsed="false">
      <c r="G2" s="1"/>
    </row>
    <row r="3" customFormat="false" ht="15.75" hidden="false" customHeight="false" outlineLevel="0" collapsed="false">
      <c r="A3" s="1" t="s">
        <v>31</v>
      </c>
      <c r="B3" s="1" t="n">
        <v>120</v>
      </c>
      <c r="C3" s="1" t="n">
        <v>120</v>
      </c>
      <c r="D3" s="1" t="n">
        <v>120</v>
      </c>
      <c r="H3" s="3" t="s">
        <v>32</v>
      </c>
      <c r="I3" s="3"/>
      <c r="J3" s="3"/>
      <c r="K3" s="3"/>
      <c r="L3" s="3"/>
      <c r="M3" s="3"/>
      <c r="N3" s="3"/>
      <c r="O3" s="11"/>
      <c r="P3" s="4" t="s">
        <v>33</v>
      </c>
      <c r="Q3" s="4"/>
      <c r="R3" s="4"/>
      <c r="S3" s="4"/>
      <c r="T3" s="4"/>
      <c r="U3" s="4"/>
      <c r="V3" s="4"/>
    </row>
    <row r="4" customFormat="false" ht="15.75" hidden="false" customHeight="false" outlineLevel="0" collapsed="false">
      <c r="A4" s="1" t="s">
        <v>34</v>
      </c>
      <c r="B4" s="1" t="n">
        <v>2.01</v>
      </c>
      <c r="C4" s="1" t="n">
        <v>2.03</v>
      </c>
      <c r="D4" s="1" t="n">
        <v>2.025</v>
      </c>
      <c r="H4" s="1" t="s">
        <v>35</v>
      </c>
      <c r="I4" s="1" t="s">
        <v>36</v>
      </c>
      <c r="J4" s="1" t="s">
        <v>37</v>
      </c>
      <c r="K4" s="1" t="s">
        <v>38</v>
      </c>
      <c r="L4" s="1" t="s">
        <v>39</v>
      </c>
      <c r="M4" s="5" t="s">
        <v>40</v>
      </c>
      <c r="N4" s="5" t="s">
        <v>41</v>
      </c>
      <c r="O4" s="5"/>
      <c r="P4" s="1" t="s">
        <v>42</v>
      </c>
      <c r="Q4" s="1" t="s">
        <v>36</v>
      </c>
      <c r="R4" s="1" t="s">
        <v>43</v>
      </c>
      <c r="S4" s="1" t="s">
        <v>38</v>
      </c>
      <c r="T4" s="1" t="s">
        <v>39</v>
      </c>
      <c r="U4" s="5" t="s">
        <v>40</v>
      </c>
      <c r="V4" s="5" t="s">
        <v>41</v>
      </c>
    </row>
    <row r="5" customFormat="false" ht="15.75" hidden="false" customHeight="false" outlineLevel="0" collapsed="false">
      <c r="A5" s="1" t="s">
        <v>44</v>
      </c>
      <c r="B5" s="6" t="n">
        <v>48</v>
      </c>
      <c r="C5" s="6" t="n">
        <v>48</v>
      </c>
      <c r="D5" s="6" t="n">
        <v>48</v>
      </c>
      <c r="H5" s="5" t="s">
        <v>45</v>
      </c>
      <c r="I5" s="5"/>
      <c r="J5" s="5"/>
      <c r="K5" s="7"/>
      <c r="L5" s="5"/>
      <c r="M5" s="5"/>
      <c r="N5" s="5"/>
      <c r="O5" s="5"/>
      <c r="P5" s="5" t="s">
        <v>45</v>
      </c>
      <c r="Q5" s="7" t="s">
        <v>15</v>
      </c>
      <c r="R5" s="7" t="s">
        <v>81</v>
      </c>
      <c r="S5" s="7" t="s">
        <v>9</v>
      </c>
      <c r="T5" s="5"/>
      <c r="U5" s="5"/>
      <c r="V5" s="5"/>
    </row>
    <row r="6" customFormat="false" ht="15.75" hidden="false" customHeight="false" outlineLevel="0" collapsed="false">
      <c r="B6" s="2" t="s">
        <v>46</v>
      </c>
      <c r="C6" s="2"/>
      <c r="D6" s="2"/>
      <c r="H6" s="5" t="n">
        <v>1</v>
      </c>
      <c r="I6" s="9" t="n">
        <v>4.38</v>
      </c>
      <c r="J6" s="9" t="n">
        <v>3.85</v>
      </c>
      <c r="K6" s="9" t="n">
        <v>4.36</v>
      </c>
      <c r="L6" s="9" t="s">
        <v>47</v>
      </c>
      <c r="M6" s="9" t="s">
        <v>47</v>
      </c>
      <c r="N6" s="9" t="s">
        <v>47</v>
      </c>
      <c r="O6" s="9"/>
      <c r="P6" s="5" t="n">
        <v>1</v>
      </c>
      <c r="Q6" s="5" t="n">
        <v>3.59</v>
      </c>
      <c r="R6" s="5" t="n">
        <v>3.66</v>
      </c>
      <c r="S6" s="5" t="n">
        <v>3.5</v>
      </c>
      <c r="T6" s="5" t="s">
        <v>47</v>
      </c>
      <c r="U6" s="5" t="s">
        <v>47</v>
      </c>
      <c r="V6" s="5" t="s">
        <v>47</v>
      </c>
    </row>
    <row r="7" customFormat="false" ht="15.75" hidden="false" customHeight="false" outlineLevel="0" collapsed="false">
      <c r="A7" s="1" t="s">
        <v>48</v>
      </c>
      <c r="B7" s="1" t="n">
        <v>5</v>
      </c>
      <c r="C7" s="1" t="n">
        <v>5</v>
      </c>
      <c r="D7" s="1" t="n">
        <v>5</v>
      </c>
      <c r="E7" s="1" t="n">
        <v>5.01</v>
      </c>
      <c r="F7" s="1" t="n">
        <v>4.98</v>
      </c>
      <c r="G7" s="1" t="n">
        <v>5</v>
      </c>
      <c r="H7" s="5" t="n">
        <v>2</v>
      </c>
      <c r="I7" s="9" t="n">
        <v>4.19</v>
      </c>
      <c r="J7" s="9" t="n">
        <v>3.8</v>
      </c>
      <c r="K7" s="9" t="n">
        <v>4.39</v>
      </c>
      <c r="L7" s="9" t="s">
        <v>47</v>
      </c>
      <c r="M7" s="9" t="s">
        <v>47</v>
      </c>
      <c r="N7" s="9" t="s">
        <v>47</v>
      </c>
      <c r="O7" s="9"/>
      <c r="P7" s="5" t="n">
        <v>2</v>
      </c>
      <c r="Q7" s="5" t="n">
        <v>3.59</v>
      </c>
      <c r="R7" s="5" t="n">
        <v>3.21</v>
      </c>
      <c r="S7" s="7" t="n">
        <v>3.59</v>
      </c>
      <c r="T7" s="5" t="s">
        <v>47</v>
      </c>
      <c r="U7" s="5" t="s">
        <v>47</v>
      </c>
      <c r="V7" s="5" t="s">
        <v>47</v>
      </c>
    </row>
    <row r="8" customFormat="false" ht="15.75" hidden="false" customHeight="false" outlineLevel="0" collapsed="false">
      <c r="A8" s="1" t="s">
        <v>49</v>
      </c>
      <c r="B8" s="1" t="n">
        <v>4.955</v>
      </c>
      <c r="C8" s="1" t="n">
        <v>4.955</v>
      </c>
      <c r="D8" s="1" t="n">
        <v>4.96</v>
      </c>
      <c r="E8" s="1" t="n">
        <v>4.96</v>
      </c>
      <c r="F8" s="1" t="n">
        <v>4.97</v>
      </c>
      <c r="G8" s="1" t="n">
        <v>4.965</v>
      </c>
      <c r="H8" s="5" t="n">
        <v>3</v>
      </c>
      <c r="I8" s="9" t="n">
        <v>4.63</v>
      </c>
      <c r="J8" s="9" t="n">
        <v>4.13</v>
      </c>
      <c r="K8" s="9" t="n">
        <v>4.38</v>
      </c>
      <c r="L8" s="9" t="s">
        <v>47</v>
      </c>
      <c r="M8" s="9" t="s">
        <v>47</v>
      </c>
      <c r="N8" s="9" t="s">
        <v>47</v>
      </c>
      <c r="O8" s="9"/>
      <c r="P8" s="5" t="n">
        <v>3</v>
      </c>
      <c r="Q8" s="5" t="n">
        <v>3.51</v>
      </c>
      <c r="R8" s="5" t="n">
        <v>3.5</v>
      </c>
      <c r="S8" s="5" t="n">
        <v>3.53</v>
      </c>
      <c r="T8" s="5" t="s">
        <v>47</v>
      </c>
      <c r="U8" s="5" t="s">
        <v>47</v>
      </c>
      <c r="V8" s="5" t="s">
        <v>47</v>
      </c>
    </row>
    <row r="9" customFormat="false" ht="15.75" hidden="false" customHeight="false" outlineLevel="0" collapsed="false">
      <c r="A9" s="1" t="s">
        <v>50</v>
      </c>
      <c r="B9" s="1" t="n">
        <v>264.6</v>
      </c>
      <c r="C9" s="1" t="n">
        <v>264.6</v>
      </c>
      <c r="D9" s="1" t="n">
        <v>264.6</v>
      </c>
      <c r="E9" s="1" t="n">
        <v>264.6</v>
      </c>
      <c r="F9" s="1" t="n">
        <v>264.5</v>
      </c>
      <c r="G9" s="1" t="n">
        <v>264.7</v>
      </c>
      <c r="H9" s="5" t="n">
        <v>4</v>
      </c>
      <c r="I9" s="9" t="n">
        <v>4.78</v>
      </c>
      <c r="J9" s="9" t="n">
        <v>3.8</v>
      </c>
      <c r="K9" s="9" t="n">
        <v>4.12</v>
      </c>
      <c r="L9" s="9" t="s">
        <v>47</v>
      </c>
      <c r="M9" s="9" t="s">
        <v>47</v>
      </c>
      <c r="N9" s="9" t="s">
        <v>47</v>
      </c>
      <c r="O9" s="9"/>
      <c r="P9" s="5" t="n">
        <v>4</v>
      </c>
      <c r="Q9" s="5" t="n">
        <v>3.42</v>
      </c>
      <c r="R9" s="5" t="n">
        <v>3.5</v>
      </c>
      <c r="S9" s="5" t="n">
        <v>3.5</v>
      </c>
      <c r="T9" s="5" t="s">
        <v>47</v>
      </c>
      <c r="U9" s="5" t="s">
        <v>47</v>
      </c>
      <c r="V9" s="5" t="s">
        <v>47</v>
      </c>
    </row>
    <row r="10" customFormat="false" ht="13.8" hidden="false" customHeight="false" outlineLevel="0" collapsed="false">
      <c r="B10" s="2" t="s">
        <v>51</v>
      </c>
      <c r="C10" s="2"/>
      <c r="D10" s="2"/>
      <c r="H10" s="5" t="n">
        <v>5</v>
      </c>
      <c r="I10" s="9" t="n">
        <v>4.94</v>
      </c>
      <c r="J10" s="9" t="n">
        <v>3.69</v>
      </c>
      <c r="K10" s="9" t="n">
        <v>3.78</v>
      </c>
      <c r="L10" s="9" t="s">
        <v>47</v>
      </c>
      <c r="M10" s="9" t="s">
        <v>47</v>
      </c>
      <c r="N10" s="9" t="s">
        <v>47</v>
      </c>
      <c r="O10" s="9"/>
      <c r="P10" s="5" t="n">
        <v>5</v>
      </c>
      <c r="Q10" s="5" t="n">
        <v>3.44</v>
      </c>
      <c r="R10" s="5" t="n">
        <v>3.34</v>
      </c>
      <c r="S10" s="5" t="n">
        <v>3.53</v>
      </c>
      <c r="T10" s="5" t="s">
        <v>47</v>
      </c>
      <c r="U10" s="5" t="s">
        <v>47</v>
      </c>
      <c r="V10" s="5" t="s">
        <v>47</v>
      </c>
    </row>
    <row r="11" customFormat="false" ht="15.75" hidden="false" customHeight="false" outlineLevel="0" collapsed="false">
      <c r="A11" s="1" t="s">
        <v>52</v>
      </c>
      <c r="B11" s="1" t="n">
        <v>5.01</v>
      </c>
      <c r="C11" s="1" t="n">
        <v>5</v>
      </c>
      <c r="D11" s="1" t="n">
        <v>5</v>
      </c>
      <c r="E11" s="1" t="n">
        <v>4.99</v>
      </c>
      <c r="F11" s="1" t="n">
        <v>4.99</v>
      </c>
      <c r="G11" s="1" t="n">
        <v>4.98</v>
      </c>
      <c r="H11" s="5" t="n">
        <v>6</v>
      </c>
      <c r="I11" s="9" t="n">
        <v>4.31</v>
      </c>
      <c r="J11" s="9" t="n">
        <v>3.65</v>
      </c>
      <c r="K11" s="9" t="n">
        <v>4.58</v>
      </c>
      <c r="L11" s="9" t="s">
        <v>47</v>
      </c>
      <c r="M11" s="9" t="s">
        <v>47</v>
      </c>
      <c r="N11" s="9" t="s">
        <v>47</v>
      </c>
      <c r="O11" s="9"/>
      <c r="P11" s="5" t="n">
        <v>6</v>
      </c>
      <c r="Q11" s="5" t="n">
        <v>3.43</v>
      </c>
      <c r="R11" s="5" t="n">
        <v>3.53</v>
      </c>
      <c r="S11" s="5" t="n">
        <v>3.53</v>
      </c>
      <c r="T11" s="5" t="s">
        <v>47</v>
      </c>
      <c r="U11" s="5" t="s">
        <v>47</v>
      </c>
      <c r="V11" s="5" t="s">
        <v>47</v>
      </c>
    </row>
    <row r="12" customFormat="false" ht="15.75" hidden="false" customHeight="false" outlineLevel="0" collapsed="false">
      <c r="A12" s="1" t="s">
        <v>49</v>
      </c>
      <c r="B12" s="1" t="n">
        <v>4.91</v>
      </c>
      <c r="C12" s="1" t="n">
        <v>5.005</v>
      </c>
      <c r="D12" s="1" t="n">
        <v>5.02</v>
      </c>
      <c r="E12" s="1" t="n">
        <v>5.05</v>
      </c>
      <c r="F12" s="1" t="n">
        <v>5.05</v>
      </c>
      <c r="G12" s="1" t="n">
        <v>5</v>
      </c>
      <c r="H12" s="5" t="n">
        <v>7</v>
      </c>
      <c r="I12" s="9" t="n">
        <v>4.19</v>
      </c>
      <c r="J12" s="9" t="n">
        <v>4.15</v>
      </c>
      <c r="K12" s="9" t="n">
        <v>4.5</v>
      </c>
      <c r="L12" s="9" t="s">
        <v>47</v>
      </c>
      <c r="M12" s="9" t="s">
        <v>47</v>
      </c>
      <c r="N12" s="9" t="s">
        <v>47</v>
      </c>
      <c r="O12" s="9"/>
      <c r="P12" s="5" t="n">
        <v>7</v>
      </c>
      <c r="Q12" s="5" t="n">
        <v>3.34</v>
      </c>
      <c r="R12" s="5" t="n">
        <v>3.42</v>
      </c>
      <c r="S12" s="5" t="n">
        <v>3.53</v>
      </c>
      <c r="T12" s="5" t="s">
        <v>47</v>
      </c>
      <c r="U12" s="5" t="s">
        <v>47</v>
      </c>
      <c r="V12" s="5" t="s">
        <v>47</v>
      </c>
    </row>
    <row r="13" customFormat="false" ht="15.75" hidden="false" customHeight="false" outlineLevel="0" collapsed="false">
      <c r="A13" s="1" t="s">
        <v>50</v>
      </c>
      <c r="B13" s="1" t="n">
        <v>831.9</v>
      </c>
      <c r="C13" s="1" t="n">
        <v>831.9</v>
      </c>
      <c r="D13" s="1" t="n">
        <v>831.9</v>
      </c>
      <c r="E13" s="1" t="n">
        <v>831.9</v>
      </c>
      <c r="F13" s="1" t="n">
        <v>831.6</v>
      </c>
      <c r="G13" s="1" t="n">
        <v>831.8</v>
      </c>
      <c r="H13" s="5" t="n">
        <v>8</v>
      </c>
      <c r="I13" s="9" t="n">
        <v>4.5</v>
      </c>
      <c r="J13" s="9" t="n">
        <v>4.06</v>
      </c>
      <c r="K13" s="9" t="n">
        <v>4.07</v>
      </c>
      <c r="L13" s="9" t="s">
        <v>47</v>
      </c>
      <c r="M13" s="9" t="s">
        <v>47</v>
      </c>
      <c r="N13" s="9" t="s">
        <v>47</v>
      </c>
      <c r="O13" s="9"/>
      <c r="P13" s="5" t="n">
        <v>8</v>
      </c>
      <c r="Q13" s="5" t="n">
        <v>3.53</v>
      </c>
      <c r="R13" s="5" t="n">
        <v>3.52</v>
      </c>
      <c r="S13" s="5" t="n">
        <v>3.53</v>
      </c>
      <c r="T13" s="5" t="s">
        <v>47</v>
      </c>
      <c r="U13" s="5" t="s">
        <v>47</v>
      </c>
      <c r="V13" s="5" t="s">
        <v>47</v>
      </c>
    </row>
    <row r="14" customFormat="false" ht="15.75" hidden="false" customHeight="false" outlineLevel="0" collapsed="false">
      <c r="H14" s="5" t="n">
        <v>9</v>
      </c>
      <c r="I14" s="9" t="n">
        <v>4.78</v>
      </c>
      <c r="J14" s="9" t="n">
        <v>4.16</v>
      </c>
      <c r="K14" s="9" t="n">
        <v>4.43</v>
      </c>
      <c r="L14" s="9" t="s">
        <v>47</v>
      </c>
      <c r="M14" s="9" t="s">
        <v>47</v>
      </c>
      <c r="N14" s="9" t="s">
        <v>47</v>
      </c>
      <c r="O14" s="9"/>
      <c r="P14" s="5" t="n">
        <v>9</v>
      </c>
      <c r="Q14" s="5" t="n">
        <v>3.66</v>
      </c>
      <c r="R14" s="5" t="n">
        <v>3.13</v>
      </c>
      <c r="S14" s="5" t="n">
        <v>3.6</v>
      </c>
      <c r="T14" s="5" t="s">
        <v>47</v>
      </c>
      <c r="U14" s="5" t="s">
        <v>47</v>
      </c>
      <c r="V14" s="5" t="s">
        <v>47</v>
      </c>
    </row>
    <row r="15" customFormat="false" ht="15.75" hidden="false" customHeight="false" outlineLevel="0" collapsed="false">
      <c r="H15" s="5" t="n">
        <v>10</v>
      </c>
      <c r="I15" s="9" t="n">
        <v>4.56</v>
      </c>
      <c r="J15" s="9" t="n">
        <v>4.22</v>
      </c>
      <c r="K15" s="9" t="n">
        <v>4.44</v>
      </c>
      <c r="L15" s="9" t="s">
        <v>47</v>
      </c>
      <c r="M15" s="9" t="s">
        <v>47</v>
      </c>
      <c r="N15" s="9" t="s">
        <v>47</v>
      </c>
      <c r="O15" s="9"/>
      <c r="P15" s="5" t="n">
        <v>10</v>
      </c>
      <c r="Q15" s="5" t="n">
        <v>3.6</v>
      </c>
      <c r="R15" s="5" t="n">
        <v>3.44</v>
      </c>
      <c r="S15" s="5" t="n">
        <v>3.53</v>
      </c>
      <c r="T15" s="5" t="s">
        <v>47</v>
      </c>
      <c r="U15" s="5" t="s">
        <v>47</v>
      </c>
      <c r="V15" s="5" t="s">
        <v>47</v>
      </c>
    </row>
    <row r="16" customFormat="false" ht="15.75" hidden="false" customHeight="false" outlineLevel="0" collapsed="false">
      <c r="A16" s="1" t="s">
        <v>53</v>
      </c>
      <c r="C16" s="1" t="s">
        <v>54</v>
      </c>
      <c r="H16" s="5" t="n">
        <v>11</v>
      </c>
      <c r="I16" s="9" t="n">
        <v>4.53</v>
      </c>
      <c r="J16" s="9" t="n">
        <v>4.22</v>
      </c>
      <c r="K16" s="9" t="n">
        <v>4.43</v>
      </c>
      <c r="L16" s="9" t="s">
        <v>47</v>
      </c>
      <c r="M16" s="9" t="s">
        <v>47</v>
      </c>
      <c r="N16" s="9" t="s">
        <v>47</v>
      </c>
      <c r="O16" s="9"/>
      <c r="P16" s="5" t="n">
        <v>11</v>
      </c>
      <c r="Q16" s="5" t="n">
        <v>3.57</v>
      </c>
      <c r="R16" s="5" t="n">
        <v>3.65</v>
      </c>
      <c r="S16" s="5" t="n">
        <v>3.53</v>
      </c>
      <c r="T16" s="5" t="s">
        <v>47</v>
      </c>
      <c r="U16" s="5" t="s">
        <v>47</v>
      </c>
      <c r="V16" s="5" t="s">
        <v>47</v>
      </c>
    </row>
    <row r="17" customFormat="false" ht="15.75" hidden="false" customHeight="false" outlineLevel="0" collapsed="false">
      <c r="A17" s="1" t="n">
        <v>0.0212</v>
      </c>
      <c r="C17" s="1" t="n">
        <v>120</v>
      </c>
      <c r="H17" s="5" t="n">
        <v>12</v>
      </c>
      <c r="I17" s="9" t="n">
        <v>4.16</v>
      </c>
      <c r="J17" s="9" t="n">
        <v>4.16</v>
      </c>
      <c r="K17" s="9" t="n">
        <v>4.28</v>
      </c>
      <c r="L17" s="9" t="s">
        <v>47</v>
      </c>
      <c r="M17" s="9" t="s">
        <v>47</v>
      </c>
      <c r="N17" s="9" t="s">
        <v>47</v>
      </c>
      <c r="O17" s="9"/>
      <c r="P17" s="5" t="n">
        <v>12</v>
      </c>
      <c r="Q17" s="5" t="n">
        <v>3.5</v>
      </c>
      <c r="R17" s="5" t="n">
        <v>3.43</v>
      </c>
      <c r="S17" s="5" t="n">
        <v>3.6</v>
      </c>
      <c r="T17" s="5" t="s">
        <v>47</v>
      </c>
      <c r="U17" s="5" t="s">
        <v>47</v>
      </c>
      <c r="V17" s="5" t="s">
        <v>47</v>
      </c>
    </row>
    <row r="18" customFormat="false" ht="15.75" hidden="false" customHeight="false" outlineLevel="0" collapsed="false">
      <c r="A18" s="1" t="n">
        <v>0.0212</v>
      </c>
      <c r="C18" s="1" t="n">
        <v>120</v>
      </c>
      <c r="H18" s="5" t="n">
        <v>13</v>
      </c>
      <c r="I18" s="9" t="n">
        <v>4.33</v>
      </c>
      <c r="J18" s="9" t="n">
        <v>4.09</v>
      </c>
      <c r="K18" s="9" t="n">
        <v>4.39</v>
      </c>
      <c r="L18" s="9" t="s">
        <v>47</v>
      </c>
      <c r="M18" s="9" t="s">
        <v>47</v>
      </c>
      <c r="N18" s="9" t="s">
        <v>47</v>
      </c>
      <c r="O18" s="9"/>
      <c r="P18" s="5" t="n">
        <v>13</v>
      </c>
      <c r="Q18" s="5" t="n">
        <v>3.57</v>
      </c>
      <c r="R18" s="5" t="n">
        <v>3.48</v>
      </c>
      <c r="S18" s="5" t="n">
        <v>3.63</v>
      </c>
      <c r="T18" s="5" t="s">
        <v>47</v>
      </c>
      <c r="U18" s="5" t="s">
        <v>47</v>
      </c>
      <c r="V18" s="5" t="s">
        <v>47</v>
      </c>
    </row>
    <row r="19" customFormat="false" ht="15.75" hidden="false" customHeight="false" outlineLevel="0" collapsed="false">
      <c r="A19" s="1" t="n">
        <v>0.0212</v>
      </c>
      <c r="C19" s="1" t="n">
        <v>120</v>
      </c>
      <c r="H19" s="5" t="n">
        <v>14</v>
      </c>
      <c r="I19" s="9" t="n">
        <v>4.87</v>
      </c>
      <c r="J19" s="9" t="n">
        <v>4.12</v>
      </c>
      <c r="K19" s="9" t="n">
        <v>4.22</v>
      </c>
      <c r="L19" s="9" t="s">
        <v>47</v>
      </c>
      <c r="M19" s="9" t="s">
        <v>47</v>
      </c>
      <c r="N19" s="9" t="s">
        <v>47</v>
      </c>
      <c r="O19" s="9"/>
      <c r="P19" s="5" t="n">
        <v>14</v>
      </c>
      <c r="Q19" s="5" t="n">
        <v>3.59</v>
      </c>
      <c r="R19" s="5" t="n">
        <v>3.4</v>
      </c>
      <c r="S19" s="5" t="n">
        <v>3.56</v>
      </c>
      <c r="T19" s="5" t="s">
        <v>47</v>
      </c>
      <c r="U19" s="5" t="s">
        <v>47</v>
      </c>
      <c r="V19" s="5" t="s">
        <v>47</v>
      </c>
    </row>
    <row r="20" customFormat="false" ht="15.75" hidden="false" customHeight="false" outlineLevel="0" collapsed="false">
      <c r="A20" s="1" t="n">
        <v>0.0211</v>
      </c>
      <c r="C20" s="1" t="n">
        <v>93.9</v>
      </c>
      <c r="H20" s="5" t="n">
        <v>15</v>
      </c>
      <c r="I20" s="9" t="n">
        <v>4.97</v>
      </c>
      <c r="J20" s="9" t="n">
        <v>3.33</v>
      </c>
      <c r="K20" s="9" t="n">
        <v>4.72</v>
      </c>
      <c r="L20" s="9" t="s">
        <v>47</v>
      </c>
      <c r="M20" s="9" t="s">
        <v>47</v>
      </c>
      <c r="N20" s="9" t="s">
        <v>47</v>
      </c>
      <c r="O20" s="9"/>
      <c r="P20" s="5" t="n">
        <v>15</v>
      </c>
      <c r="Q20" s="5" t="n">
        <v>3.51</v>
      </c>
      <c r="R20" s="5" t="n">
        <v>3.56</v>
      </c>
      <c r="S20" s="5" t="n">
        <v>3.55</v>
      </c>
      <c r="T20" s="5" t="s">
        <v>47</v>
      </c>
      <c r="U20" s="5" t="s">
        <v>47</v>
      </c>
      <c r="V20" s="5" t="s">
        <v>47</v>
      </c>
    </row>
    <row r="21" customFormat="false" ht="15.75" hidden="false" customHeight="false" outlineLevel="0" collapsed="false">
      <c r="A21" s="1" t="n">
        <v>0.0212</v>
      </c>
      <c r="C21" s="1" t="n">
        <v>93.9</v>
      </c>
      <c r="H21" s="5" t="n">
        <v>16</v>
      </c>
      <c r="I21" s="9" t="n">
        <v>4.97</v>
      </c>
      <c r="J21" s="9" t="n">
        <v>4.15</v>
      </c>
      <c r="K21" s="9" t="n">
        <v>4.38</v>
      </c>
      <c r="L21" s="9" t="s">
        <v>47</v>
      </c>
      <c r="M21" s="9" t="s">
        <v>47</v>
      </c>
      <c r="N21" s="9" t="s">
        <v>47</v>
      </c>
      <c r="O21" s="9"/>
      <c r="P21" s="5" t="n">
        <v>16</v>
      </c>
      <c r="Q21" s="5" t="n">
        <v>3.59</v>
      </c>
      <c r="R21" s="5" t="n">
        <v>3.59</v>
      </c>
      <c r="S21" s="5" t="n">
        <v>3.7</v>
      </c>
      <c r="T21" s="5" t="s">
        <v>47</v>
      </c>
      <c r="U21" s="5" t="s">
        <v>47</v>
      </c>
      <c r="V21" s="5" t="s">
        <v>47</v>
      </c>
    </row>
    <row r="22" customFormat="false" ht="15.75" hidden="false" customHeight="false" outlineLevel="0" collapsed="false">
      <c r="H22" s="5" t="n">
        <v>17</v>
      </c>
      <c r="I22" s="9" t="n">
        <v>4.34</v>
      </c>
      <c r="J22" s="9" t="n">
        <v>4.81</v>
      </c>
      <c r="K22" s="9" t="n">
        <v>4.86</v>
      </c>
      <c r="L22" s="9" t="s">
        <v>47</v>
      </c>
      <c r="M22" s="9" t="s">
        <v>47</v>
      </c>
      <c r="N22" s="9" t="s">
        <v>47</v>
      </c>
      <c r="O22" s="9"/>
      <c r="P22" s="5" t="n">
        <v>17</v>
      </c>
      <c r="Q22" s="5" t="n">
        <v>3.5</v>
      </c>
      <c r="R22" s="5" t="n">
        <v>3.64</v>
      </c>
      <c r="S22" s="5" t="n">
        <v>3.53</v>
      </c>
      <c r="T22" s="5" t="s">
        <v>47</v>
      </c>
      <c r="U22" s="5" t="s">
        <v>47</v>
      </c>
      <c r="V22" s="5" t="s">
        <v>47</v>
      </c>
    </row>
    <row r="23" customFormat="false" ht="15.75" hidden="false" customHeight="false" outlineLevel="0" collapsed="false">
      <c r="A23" s="1" t="s">
        <v>55</v>
      </c>
      <c r="B23" s="8" t="n">
        <f aca="false">ASIN(A17/C17)</f>
        <v>0.000176666667585661</v>
      </c>
      <c r="C23" s="8" t="n">
        <f aca="false">B23*180/PI()</f>
        <v>0.010122254433299</v>
      </c>
      <c r="H23" s="5" t="n">
        <v>18</v>
      </c>
      <c r="I23" s="9" t="n">
        <v>5.07</v>
      </c>
      <c r="J23" s="9" t="n">
        <v>4.44</v>
      </c>
      <c r="K23" s="9" t="n">
        <v>4.22</v>
      </c>
      <c r="L23" s="9" t="s">
        <v>47</v>
      </c>
      <c r="M23" s="9" t="s">
        <v>47</v>
      </c>
      <c r="N23" s="9" t="s">
        <v>47</v>
      </c>
      <c r="O23" s="9"/>
      <c r="P23" s="5" t="n">
        <v>18</v>
      </c>
      <c r="Q23" s="5" t="n">
        <v>3.53</v>
      </c>
      <c r="R23" s="5" t="n">
        <v>3.5</v>
      </c>
      <c r="S23" s="5" t="n">
        <v>3.53</v>
      </c>
      <c r="T23" s="5" t="s">
        <v>47</v>
      </c>
      <c r="U23" s="5" t="s">
        <v>47</v>
      </c>
      <c r="V23" s="5" t="s">
        <v>47</v>
      </c>
    </row>
    <row r="24" customFormat="false" ht="15.75" hidden="false" customHeight="false" outlineLevel="0" collapsed="false">
      <c r="A24" s="1" t="s">
        <v>56</v>
      </c>
      <c r="B24" s="8" t="n">
        <f aca="false">ASIN(A18/C18)</f>
        <v>0.000176666667585661</v>
      </c>
      <c r="C24" s="8" t="n">
        <f aca="false">B24*180/PI()</f>
        <v>0.010122254433299</v>
      </c>
      <c r="H24" s="5" t="n">
        <v>19</v>
      </c>
      <c r="I24" s="9" t="n">
        <v>4.19</v>
      </c>
      <c r="J24" s="9" t="n">
        <v>4.16</v>
      </c>
      <c r="K24" s="9" t="n">
        <v>4.03</v>
      </c>
      <c r="L24" s="9" t="s">
        <v>47</v>
      </c>
      <c r="M24" s="9" t="s">
        <v>47</v>
      </c>
      <c r="N24" s="9" t="s">
        <v>47</v>
      </c>
      <c r="O24" s="9"/>
      <c r="P24" s="5" t="n">
        <v>19</v>
      </c>
      <c r="Q24" s="5" t="n">
        <v>3.56</v>
      </c>
      <c r="R24" s="5" t="n">
        <v>3.5</v>
      </c>
      <c r="S24" s="7" t="n">
        <v>3.59</v>
      </c>
      <c r="T24" s="5" t="s">
        <v>47</v>
      </c>
      <c r="U24" s="5" t="s">
        <v>47</v>
      </c>
      <c r="V24" s="5" t="s">
        <v>47</v>
      </c>
    </row>
    <row r="25" customFormat="false" ht="15.75" hidden="false" customHeight="false" outlineLevel="0" collapsed="false">
      <c r="A25" s="1" t="s">
        <v>57</v>
      </c>
      <c r="B25" s="8" t="n">
        <f aca="false">ASIN(A19/C19)</f>
        <v>0.000176666667585661</v>
      </c>
      <c r="C25" s="8" t="n">
        <f aca="false">B25*180/PI()</f>
        <v>0.010122254433299</v>
      </c>
      <c r="H25" s="5" t="n">
        <v>20</v>
      </c>
      <c r="I25" s="9" t="n">
        <v>4.37</v>
      </c>
      <c r="J25" s="9" t="n">
        <v>4.13</v>
      </c>
      <c r="K25" s="9" t="n">
        <v>4.43</v>
      </c>
      <c r="L25" s="9" t="s">
        <v>47</v>
      </c>
      <c r="M25" s="9" t="s">
        <v>47</v>
      </c>
      <c r="N25" s="9" t="s">
        <v>47</v>
      </c>
      <c r="O25" s="9"/>
      <c r="P25" s="5" t="n">
        <v>20</v>
      </c>
      <c r="Q25" s="5" t="n">
        <v>3.61</v>
      </c>
      <c r="R25" s="5" t="n">
        <v>3.5</v>
      </c>
      <c r="S25" s="5" t="n">
        <v>3.54</v>
      </c>
      <c r="T25" s="5" t="s">
        <v>47</v>
      </c>
      <c r="U25" s="5" t="s">
        <v>47</v>
      </c>
      <c r="V25" s="5" t="s">
        <v>47</v>
      </c>
    </row>
    <row r="26" customFormat="false" ht="15.75" hidden="false" customHeight="false" outlineLevel="0" collapsed="false">
      <c r="A26" s="1" t="s">
        <v>58</v>
      </c>
      <c r="B26" s="8" t="n">
        <f aca="false">ASIN(A20/C20)</f>
        <v>0.0002247071371413</v>
      </c>
      <c r="C26" s="8" t="n">
        <f aca="false">B26*180/PI()</f>
        <v>0.0128747705846639</v>
      </c>
    </row>
    <row r="27" customFormat="false" ht="15.75" hidden="false" customHeight="false" outlineLevel="0" collapsed="false">
      <c r="A27" s="1" t="s">
        <v>59</v>
      </c>
      <c r="B27" s="8" t="n">
        <f aca="false">ASIN(A21/C21)</f>
        <v>0.000225772099894619</v>
      </c>
      <c r="C27" s="8" t="n">
        <f aca="false">B27*180/PI()</f>
        <v>0.0129357884557677</v>
      </c>
    </row>
  </sheetData>
  <mergeCells count="5">
    <mergeCell ref="B1:D1"/>
    <mergeCell ref="H3:N3"/>
    <mergeCell ref="P3:V3"/>
    <mergeCell ref="B6:D6"/>
    <mergeCell ref="B10:D1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7"/>
  <sheetViews>
    <sheetView showFormulas="false" showGridLines="true" showRowColHeaders="true" showZeros="true" rightToLeft="false" tabSelected="true" showOutlineSymbols="true" defaultGridColor="true" view="normal" topLeftCell="A4" colorId="64" zoomScale="110" zoomScaleNormal="110" zoomScalePageLayoutView="100" workbookViewId="0">
      <selection pane="topLeft" activeCell="G7" activeCellId="0" sqref="G7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B1" s="2" t="s">
        <v>30</v>
      </c>
      <c r="C1" s="2"/>
      <c r="D1" s="2"/>
    </row>
    <row r="2" customFormat="false" ht="15.75" hidden="false" customHeight="false" outlineLevel="0" collapsed="false">
      <c r="C2" s="0" t="n">
        <f aca="false">AVERAGE(B3:F3)</f>
        <v>79.848</v>
      </c>
      <c r="G2" s="1"/>
    </row>
    <row r="3" customFormat="false" ht="15.75" hidden="false" customHeight="false" outlineLevel="0" collapsed="false">
      <c r="A3" s="1" t="s">
        <v>31</v>
      </c>
      <c r="B3" s="1" t="n">
        <v>79.96</v>
      </c>
      <c r="C3" s="1" t="n">
        <v>79.78</v>
      </c>
      <c r="D3" s="1" t="n">
        <v>79.82</v>
      </c>
      <c r="E3" s="1" t="n">
        <v>79.73</v>
      </c>
      <c r="F3" s="1" t="n">
        <v>79.95</v>
      </c>
      <c r="H3" s="3" t="s">
        <v>32</v>
      </c>
      <c r="I3" s="3"/>
      <c r="J3" s="3"/>
      <c r="K3" s="3"/>
      <c r="L3" s="3"/>
      <c r="M3" s="3"/>
      <c r="N3" s="3"/>
      <c r="P3" s="4" t="s">
        <v>33</v>
      </c>
      <c r="Q3" s="4"/>
      <c r="R3" s="4"/>
      <c r="S3" s="4"/>
      <c r="T3" s="4"/>
      <c r="U3" s="4"/>
      <c r="V3" s="4"/>
    </row>
    <row r="4" customFormat="false" ht="15.75" hidden="false" customHeight="false" outlineLevel="0" collapsed="false">
      <c r="A4" s="1" t="s">
        <v>34</v>
      </c>
      <c r="B4" s="1" t="n">
        <v>6.14</v>
      </c>
      <c r="C4" s="1" t="n">
        <v>6.2</v>
      </c>
      <c r="D4" s="1" t="n">
        <v>6.27</v>
      </c>
      <c r="E4" s="1" t="n">
        <v>6.18</v>
      </c>
      <c r="F4" s="1" t="n">
        <v>6.15</v>
      </c>
      <c r="H4" s="1" t="s">
        <v>35</v>
      </c>
      <c r="I4" s="1" t="s">
        <v>36</v>
      </c>
      <c r="J4" s="1" t="s">
        <v>37</v>
      </c>
      <c r="K4" s="1" t="s">
        <v>38</v>
      </c>
      <c r="L4" s="1" t="s">
        <v>39</v>
      </c>
      <c r="M4" s="5" t="s">
        <v>40</v>
      </c>
      <c r="N4" s="5" t="s">
        <v>41</v>
      </c>
      <c r="P4" s="1" t="s">
        <v>42</v>
      </c>
      <c r="Q4" s="1" t="s">
        <v>36</v>
      </c>
      <c r="R4" s="1" t="s">
        <v>43</v>
      </c>
      <c r="S4" s="1" t="s">
        <v>38</v>
      </c>
      <c r="T4" s="1" t="s">
        <v>39</v>
      </c>
      <c r="U4" s="5" t="s">
        <v>40</v>
      </c>
      <c r="V4" s="5" t="s">
        <v>41</v>
      </c>
    </row>
    <row r="5" customFormat="false" ht="15.75" hidden="false" customHeight="false" outlineLevel="0" collapsed="false">
      <c r="A5" s="1" t="s">
        <v>44</v>
      </c>
      <c r="B5" s="6" t="n">
        <v>4.41</v>
      </c>
      <c r="C5" s="6" t="n">
        <v>4.46</v>
      </c>
      <c r="D5" s="6" t="n">
        <v>4.51</v>
      </c>
      <c r="E5" s="1" t="n">
        <v>4.45</v>
      </c>
      <c r="F5" s="1" t="n">
        <v>4.41</v>
      </c>
      <c r="H5" s="5" t="s">
        <v>45</v>
      </c>
      <c r="I5" s="5"/>
      <c r="J5" s="5"/>
      <c r="K5" s="7"/>
      <c r="L5" s="5"/>
      <c r="M5" s="5"/>
      <c r="N5" s="5"/>
      <c r="P5" s="5" t="s">
        <v>45</v>
      </c>
      <c r="Q5" s="7" t="s">
        <v>15</v>
      </c>
      <c r="R5" s="7" t="s">
        <v>81</v>
      </c>
      <c r="S5" s="7" t="s">
        <v>9</v>
      </c>
      <c r="T5" s="5"/>
      <c r="U5" s="5"/>
      <c r="V5" s="5"/>
    </row>
    <row r="6" customFormat="false" ht="15.75" hidden="false" customHeight="false" outlineLevel="0" collapsed="false">
      <c r="B6" s="2" t="s">
        <v>46</v>
      </c>
      <c r="C6" s="2"/>
      <c r="D6" s="2"/>
      <c r="H6" s="5" t="n">
        <v>1</v>
      </c>
      <c r="I6" s="9" t="n">
        <v>3.09</v>
      </c>
      <c r="J6" s="9" t="n">
        <v>3.12</v>
      </c>
      <c r="K6" s="9" t="n">
        <v>2.93</v>
      </c>
      <c r="L6" s="9" t="n">
        <v>3</v>
      </c>
      <c r="M6" s="9" t="n">
        <v>3.04</v>
      </c>
      <c r="N6" s="9"/>
      <c r="P6" s="5" t="n">
        <v>1</v>
      </c>
      <c r="Q6" s="5" t="n">
        <v>3.59</v>
      </c>
      <c r="R6" s="5" t="n">
        <v>3.66</v>
      </c>
      <c r="S6" s="5" t="n">
        <v>3.5</v>
      </c>
      <c r="T6" s="5" t="s">
        <v>47</v>
      </c>
      <c r="U6" s="5" t="s">
        <v>47</v>
      </c>
      <c r="V6" s="5" t="s">
        <v>47</v>
      </c>
    </row>
    <row r="7" customFormat="false" ht="15.75" hidden="false" customHeight="false" outlineLevel="0" collapsed="false">
      <c r="A7" s="1" t="s">
        <v>48</v>
      </c>
      <c r="B7" s="1" t="n">
        <v>5</v>
      </c>
      <c r="C7" s="1" t="n">
        <v>5.007</v>
      </c>
      <c r="D7" s="1" t="n">
        <v>5</v>
      </c>
      <c r="E7" s="1" t="n">
        <v>5.003</v>
      </c>
      <c r="F7" s="1" t="n">
        <v>5.005</v>
      </c>
      <c r="H7" s="5" t="n">
        <v>2</v>
      </c>
      <c r="I7" s="9" t="n">
        <v>3.04</v>
      </c>
      <c r="J7" s="9" t="n">
        <v>3.57</v>
      </c>
      <c r="K7" s="9" t="n">
        <v>2.72</v>
      </c>
      <c r="L7" s="9" t="n">
        <v>2.97</v>
      </c>
      <c r="M7" s="9" t="n">
        <v>3.03</v>
      </c>
      <c r="N7" s="9"/>
      <c r="P7" s="5" t="n">
        <v>2</v>
      </c>
      <c r="Q7" s="5" t="n">
        <v>3.59</v>
      </c>
      <c r="R7" s="5" t="n">
        <v>3.21</v>
      </c>
      <c r="S7" s="7" t="n">
        <v>3.59</v>
      </c>
      <c r="T7" s="5" t="s">
        <v>47</v>
      </c>
      <c r="U7" s="5" t="s">
        <v>47</v>
      </c>
      <c r="V7" s="5" t="s">
        <v>47</v>
      </c>
    </row>
    <row r="8" customFormat="false" ht="13.8" hidden="false" customHeight="false" outlineLevel="0" collapsed="false">
      <c r="A8" s="1" t="s">
        <v>49</v>
      </c>
      <c r="B8" s="1" t="n">
        <v>5</v>
      </c>
      <c r="C8" s="1" t="n">
        <v>5.005</v>
      </c>
      <c r="D8" s="1" t="n">
        <v>5.003</v>
      </c>
      <c r="E8" s="1" t="n">
        <v>5.005</v>
      </c>
      <c r="F8" s="1" t="n">
        <v>5</v>
      </c>
      <c r="H8" s="5" t="n">
        <v>3</v>
      </c>
      <c r="I8" s="9" t="n">
        <v>3.03</v>
      </c>
      <c r="J8" s="9" t="n">
        <v>3.31</v>
      </c>
      <c r="K8" s="9" t="n">
        <v>2.91</v>
      </c>
      <c r="L8" s="9" t="n">
        <v>3.18</v>
      </c>
      <c r="M8" s="9" t="n">
        <v>3</v>
      </c>
      <c r="N8" s="9"/>
      <c r="P8" s="5" t="n">
        <v>3</v>
      </c>
      <c r="Q8" s="5" t="n">
        <v>3.51</v>
      </c>
      <c r="R8" s="5" t="n">
        <v>3.5</v>
      </c>
      <c r="S8" s="5" t="n">
        <v>3.53</v>
      </c>
      <c r="T8" s="5" t="s">
        <v>47</v>
      </c>
      <c r="U8" s="5" t="s">
        <v>47</v>
      </c>
      <c r="V8" s="5" t="s">
        <v>47</v>
      </c>
    </row>
    <row r="9" customFormat="false" ht="13.8" hidden="false" customHeight="false" outlineLevel="0" collapsed="false">
      <c r="A9" s="1" t="s">
        <v>50</v>
      </c>
      <c r="B9" s="1" t="n">
        <v>265.8</v>
      </c>
      <c r="C9" s="1" t="n">
        <v>265.8</v>
      </c>
      <c r="D9" s="1" t="n">
        <v>265.8</v>
      </c>
      <c r="E9" s="1" t="n">
        <v>265.8</v>
      </c>
      <c r="F9" s="1" t="n">
        <v>265.8</v>
      </c>
      <c r="H9" s="5" t="n">
        <v>4</v>
      </c>
      <c r="I9" s="9" t="n">
        <v>2.97</v>
      </c>
      <c r="J9" s="9" t="n">
        <v>3.34</v>
      </c>
      <c r="K9" s="9" t="n">
        <v>3.16</v>
      </c>
      <c r="L9" s="9" t="n">
        <v>3.08</v>
      </c>
      <c r="M9" s="9" t="n">
        <v>2.97</v>
      </c>
      <c r="N9" s="9"/>
      <c r="P9" s="5" t="n">
        <v>4</v>
      </c>
      <c r="Q9" s="5" t="n">
        <v>3.42</v>
      </c>
      <c r="R9" s="5" t="n">
        <v>3.5</v>
      </c>
      <c r="S9" s="5" t="n">
        <v>3.5</v>
      </c>
      <c r="T9" s="5" t="s">
        <v>47</v>
      </c>
      <c r="U9" s="5" t="s">
        <v>47</v>
      </c>
      <c r="V9" s="5" t="s">
        <v>47</v>
      </c>
    </row>
    <row r="10" customFormat="false" ht="15.75" hidden="false" customHeight="false" outlineLevel="0" collapsed="false">
      <c r="B10" s="2" t="s">
        <v>51</v>
      </c>
      <c r="C10" s="2"/>
      <c r="D10" s="2"/>
      <c r="H10" s="5" t="n">
        <v>5</v>
      </c>
      <c r="I10" s="9" t="n">
        <v>3.22</v>
      </c>
      <c r="J10" s="9" t="n">
        <v>3.12</v>
      </c>
      <c r="K10" s="9" t="n">
        <v>3.19</v>
      </c>
      <c r="L10" s="9" t="n">
        <v>3</v>
      </c>
      <c r="M10" s="9" t="n">
        <v>3.12</v>
      </c>
      <c r="N10" s="9"/>
      <c r="P10" s="5" t="n">
        <v>5</v>
      </c>
      <c r="Q10" s="5" t="n">
        <v>3.44</v>
      </c>
      <c r="R10" s="5" t="n">
        <v>3.34</v>
      </c>
      <c r="S10" s="5" t="n">
        <v>3.53</v>
      </c>
      <c r="T10" s="5" t="s">
        <v>47</v>
      </c>
      <c r="U10" s="5" t="s">
        <v>47</v>
      </c>
      <c r="V10" s="5" t="s">
        <v>47</v>
      </c>
    </row>
    <row r="11" customFormat="false" ht="13.8" hidden="false" customHeight="false" outlineLevel="0" collapsed="false">
      <c r="A11" s="1" t="s">
        <v>52</v>
      </c>
      <c r="B11" s="1" t="n">
        <v>4.992</v>
      </c>
      <c r="C11" s="1" t="n">
        <v>5</v>
      </c>
      <c r="D11" s="1" t="n">
        <v>5</v>
      </c>
      <c r="E11" s="1" t="n">
        <v>5.006</v>
      </c>
      <c r="F11" s="1" t="n">
        <v>5.002</v>
      </c>
      <c r="H11" s="5" t="n">
        <v>6</v>
      </c>
      <c r="I11" s="9" t="n">
        <v>3.06</v>
      </c>
      <c r="J11" s="9" t="n">
        <v>3.19</v>
      </c>
      <c r="K11" s="9" t="n">
        <v>3.22</v>
      </c>
      <c r="L11" s="9" t="n">
        <v>3.09</v>
      </c>
      <c r="M11" s="9" t="n">
        <v>2.94</v>
      </c>
      <c r="N11" s="9"/>
      <c r="P11" s="5" t="n">
        <v>6</v>
      </c>
      <c r="Q11" s="5" t="n">
        <v>3.43</v>
      </c>
      <c r="R11" s="5" t="n">
        <v>3.53</v>
      </c>
      <c r="S11" s="5" t="n">
        <v>3.53</v>
      </c>
      <c r="T11" s="5" t="s">
        <v>47</v>
      </c>
      <c r="U11" s="5" t="s">
        <v>47</v>
      </c>
      <c r="V11" s="5" t="s">
        <v>47</v>
      </c>
    </row>
    <row r="12" customFormat="false" ht="13.8" hidden="false" customHeight="false" outlineLevel="0" collapsed="false">
      <c r="A12" s="1" t="s">
        <v>49</v>
      </c>
      <c r="B12" s="1" t="n">
        <v>5.01</v>
      </c>
      <c r="C12" s="1" t="n">
        <v>5.07</v>
      </c>
      <c r="D12" s="1" t="n">
        <v>5.025</v>
      </c>
      <c r="E12" s="1" t="n">
        <v>5.043</v>
      </c>
      <c r="F12" s="1" t="n">
        <v>5.04</v>
      </c>
      <c r="H12" s="5" t="n">
        <v>7</v>
      </c>
      <c r="I12" s="9" t="n">
        <v>3.16</v>
      </c>
      <c r="J12" s="9" t="n">
        <v>3.28</v>
      </c>
      <c r="K12" s="9" t="n">
        <v>3.34</v>
      </c>
      <c r="L12" s="9" t="n">
        <v>3.07</v>
      </c>
      <c r="M12" s="9" t="n">
        <v>3</v>
      </c>
      <c r="N12" s="9"/>
      <c r="P12" s="5" t="n">
        <v>7</v>
      </c>
      <c r="Q12" s="5" t="n">
        <v>3.34</v>
      </c>
      <c r="R12" s="5" t="n">
        <v>3.42</v>
      </c>
      <c r="S12" s="5" t="n">
        <v>3.53</v>
      </c>
      <c r="T12" s="5" t="s">
        <v>47</v>
      </c>
      <c r="U12" s="5" t="s">
        <v>47</v>
      </c>
      <c r="V12" s="5" t="s">
        <v>47</v>
      </c>
    </row>
    <row r="13" customFormat="false" ht="13.8" hidden="false" customHeight="false" outlineLevel="0" collapsed="false">
      <c r="A13" s="1" t="s">
        <v>50</v>
      </c>
      <c r="B13" s="1" t="n">
        <v>830</v>
      </c>
      <c r="C13" s="1" t="n">
        <v>830</v>
      </c>
      <c r="D13" s="1" t="n">
        <v>830</v>
      </c>
      <c r="E13" s="1" t="n">
        <v>830</v>
      </c>
      <c r="F13" s="1" t="n">
        <v>830</v>
      </c>
      <c r="H13" s="5" t="n">
        <v>8</v>
      </c>
      <c r="I13" s="9" t="n">
        <v>3.09</v>
      </c>
      <c r="J13" s="9" t="n">
        <v>3.25</v>
      </c>
      <c r="K13" s="9" t="n">
        <v>3.22</v>
      </c>
      <c r="L13" s="9" t="n">
        <v>3</v>
      </c>
      <c r="M13" s="9" t="n">
        <v>2.91</v>
      </c>
      <c r="N13" s="9"/>
      <c r="P13" s="5" t="n">
        <v>8</v>
      </c>
      <c r="Q13" s="5" t="n">
        <v>3.53</v>
      </c>
      <c r="R13" s="5" t="n">
        <v>3.52</v>
      </c>
      <c r="S13" s="5" t="n">
        <v>3.53</v>
      </c>
      <c r="T13" s="5" t="s">
        <v>47</v>
      </c>
      <c r="U13" s="5" t="s">
        <v>47</v>
      </c>
      <c r="V13" s="5" t="s">
        <v>47</v>
      </c>
    </row>
    <row r="14" customFormat="false" ht="15.75" hidden="false" customHeight="false" outlineLevel="0" collapsed="false">
      <c r="H14" s="5" t="n">
        <v>9</v>
      </c>
      <c r="I14" s="9" t="n">
        <v>3</v>
      </c>
      <c r="J14" s="9" t="n">
        <v>3.25</v>
      </c>
      <c r="K14" s="9" t="n">
        <v>3.1</v>
      </c>
      <c r="L14" s="9" t="n">
        <v>3</v>
      </c>
      <c r="M14" s="9" t="n">
        <v>3.06</v>
      </c>
      <c r="N14" s="9"/>
      <c r="P14" s="5" t="n">
        <v>9</v>
      </c>
      <c r="Q14" s="5" t="n">
        <v>3.66</v>
      </c>
      <c r="R14" s="5" t="n">
        <v>3.13</v>
      </c>
      <c r="S14" s="5" t="n">
        <v>3.6</v>
      </c>
      <c r="T14" s="5" t="s">
        <v>47</v>
      </c>
      <c r="U14" s="5" t="s">
        <v>47</v>
      </c>
      <c r="V14" s="5" t="s">
        <v>47</v>
      </c>
    </row>
    <row r="15" customFormat="false" ht="15.75" hidden="false" customHeight="false" outlineLevel="0" collapsed="false">
      <c r="H15" s="5" t="n">
        <v>10</v>
      </c>
      <c r="I15" s="9" t="n">
        <v>3.19</v>
      </c>
      <c r="J15" s="9" t="n">
        <v>3.43</v>
      </c>
      <c r="K15" s="9" t="n">
        <v>3.19</v>
      </c>
      <c r="L15" s="9" t="n">
        <v>3.03</v>
      </c>
      <c r="M15" s="9" t="n">
        <v>3.09</v>
      </c>
      <c r="N15" s="9"/>
      <c r="P15" s="5" t="n">
        <v>10</v>
      </c>
      <c r="Q15" s="5" t="n">
        <v>3.6</v>
      </c>
      <c r="R15" s="5" t="n">
        <v>3.44</v>
      </c>
      <c r="S15" s="5" t="n">
        <v>3.53</v>
      </c>
      <c r="T15" s="5" t="s">
        <v>47</v>
      </c>
      <c r="U15" s="5" t="s">
        <v>47</v>
      </c>
      <c r="V15" s="5" t="s">
        <v>47</v>
      </c>
    </row>
    <row r="16" customFormat="false" ht="15.75" hidden="false" customHeight="false" outlineLevel="0" collapsed="false">
      <c r="A16" s="1" t="s">
        <v>53</v>
      </c>
      <c r="C16" s="1" t="s">
        <v>54</v>
      </c>
      <c r="H16" s="5" t="n">
        <v>11</v>
      </c>
      <c r="I16" s="9" t="n">
        <v>2.88</v>
      </c>
      <c r="J16" s="9" t="n">
        <v>3.22</v>
      </c>
      <c r="K16" s="9" t="n">
        <v>3.19</v>
      </c>
      <c r="L16" s="9" t="n">
        <v>2.97</v>
      </c>
      <c r="M16" s="9" t="n">
        <v>3.04</v>
      </c>
      <c r="N16" s="9"/>
      <c r="P16" s="5" t="n">
        <v>11</v>
      </c>
      <c r="Q16" s="5" t="n">
        <v>3.57</v>
      </c>
      <c r="R16" s="5" t="n">
        <v>3.65</v>
      </c>
      <c r="S16" s="5" t="n">
        <v>3.53</v>
      </c>
      <c r="T16" s="5" t="s">
        <v>47</v>
      </c>
      <c r="U16" s="5" t="s">
        <v>47</v>
      </c>
      <c r="V16" s="5" t="s">
        <v>47</v>
      </c>
    </row>
    <row r="17" customFormat="false" ht="15.75" hidden="false" customHeight="false" outlineLevel="0" collapsed="false">
      <c r="A17" s="1" t="n">
        <v>0.0614</v>
      </c>
      <c r="C17" s="1" t="n">
        <v>79.96</v>
      </c>
      <c r="H17" s="5" t="n">
        <v>12</v>
      </c>
      <c r="I17" s="9" t="n">
        <v>2.87</v>
      </c>
      <c r="J17" s="9" t="n">
        <v>3.28</v>
      </c>
      <c r="K17" s="9" t="n">
        <v>3.16</v>
      </c>
      <c r="L17" s="9" t="n">
        <v>3.03</v>
      </c>
      <c r="M17" s="9" t="n">
        <v>3.13</v>
      </c>
      <c r="N17" s="9"/>
      <c r="P17" s="5" t="n">
        <v>12</v>
      </c>
      <c r="Q17" s="5" t="n">
        <v>3.5</v>
      </c>
      <c r="R17" s="5" t="n">
        <v>3.43</v>
      </c>
      <c r="S17" s="5" t="n">
        <v>3.6</v>
      </c>
      <c r="T17" s="5" t="s">
        <v>47</v>
      </c>
      <c r="U17" s="5" t="s">
        <v>47</v>
      </c>
      <c r="V17" s="5" t="s">
        <v>47</v>
      </c>
    </row>
    <row r="18" customFormat="false" ht="15.75" hidden="false" customHeight="false" outlineLevel="0" collapsed="false">
      <c r="A18" s="1" t="n">
        <v>0.062</v>
      </c>
      <c r="C18" s="1" t="n">
        <v>79.78</v>
      </c>
      <c r="H18" s="5" t="n">
        <v>13</v>
      </c>
      <c r="I18" s="9" t="n">
        <v>3.06</v>
      </c>
      <c r="J18" s="9" t="n">
        <v>3.18</v>
      </c>
      <c r="K18" s="9" t="n">
        <v>3.1</v>
      </c>
      <c r="L18" s="9" t="n">
        <v>3.1</v>
      </c>
      <c r="M18" s="9" t="n">
        <v>3.06</v>
      </c>
      <c r="N18" s="9"/>
      <c r="P18" s="5" t="n">
        <v>13</v>
      </c>
      <c r="Q18" s="5" t="n">
        <v>3.57</v>
      </c>
      <c r="R18" s="5" t="n">
        <v>3.48</v>
      </c>
      <c r="S18" s="5" t="n">
        <v>3.63</v>
      </c>
      <c r="T18" s="5" t="s">
        <v>47</v>
      </c>
      <c r="U18" s="5" t="s">
        <v>47</v>
      </c>
      <c r="V18" s="5" t="s">
        <v>47</v>
      </c>
    </row>
    <row r="19" customFormat="false" ht="15.75" hidden="false" customHeight="false" outlineLevel="0" collapsed="false">
      <c r="A19" s="1" t="n">
        <v>0.0627</v>
      </c>
      <c r="C19" s="1" t="n">
        <v>79.82</v>
      </c>
      <c r="H19" s="5" t="n">
        <v>14</v>
      </c>
      <c r="I19" s="9" t="n">
        <v>3.25</v>
      </c>
      <c r="J19" s="9" t="n">
        <v>3.22</v>
      </c>
      <c r="K19" s="9" t="n">
        <v>3.19</v>
      </c>
      <c r="L19" s="9" t="n">
        <v>3.22</v>
      </c>
      <c r="M19" s="9" t="n">
        <v>2.28</v>
      </c>
      <c r="N19" s="9"/>
      <c r="P19" s="5" t="n">
        <v>14</v>
      </c>
      <c r="Q19" s="5" t="n">
        <v>3.59</v>
      </c>
      <c r="R19" s="5" t="n">
        <v>3.4</v>
      </c>
      <c r="S19" s="5" t="n">
        <v>3.56</v>
      </c>
      <c r="T19" s="5" t="s">
        <v>47</v>
      </c>
      <c r="U19" s="5" t="s">
        <v>47</v>
      </c>
      <c r="V19" s="5" t="s">
        <v>47</v>
      </c>
    </row>
    <row r="20" customFormat="false" ht="15.75" hidden="false" customHeight="false" outlineLevel="0" collapsed="false">
      <c r="A20" s="1" t="n">
        <v>0.618</v>
      </c>
      <c r="C20" s="1" t="n">
        <v>79.73</v>
      </c>
      <c r="H20" s="5" t="n">
        <v>15</v>
      </c>
      <c r="I20" s="9" t="n">
        <v>2.97</v>
      </c>
      <c r="J20" s="9" t="n">
        <v>3.16</v>
      </c>
      <c r="K20" s="9" t="n">
        <v>3.06</v>
      </c>
      <c r="L20" s="9" t="n">
        <v>3.1</v>
      </c>
      <c r="M20" s="9" t="n">
        <v>2.93</v>
      </c>
      <c r="N20" s="9"/>
      <c r="P20" s="5" t="n">
        <v>15</v>
      </c>
      <c r="Q20" s="5" t="n">
        <v>3.51</v>
      </c>
      <c r="R20" s="5" t="n">
        <v>3.56</v>
      </c>
      <c r="S20" s="5" t="n">
        <v>3.55</v>
      </c>
      <c r="T20" s="5" t="s">
        <v>47</v>
      </c>
      <c r="U20" s="5" t="s">
        <v>47</v>
      </c>
      <c r="V20" s="5" t="s">
        <v>47</v>
      </c>
    </row>
    <row r="21" customFormat="false" ht="15.75" hidden="false" customHeight="false" outlineLevel="0" collapsed="false">
      <c r="A21" s="1" t="n">
        <v>0.0615</v>
      </c>
      <c r="C21" s="1" t="n">
        <v>79.95</v>
      </c>
      <c r="H21" s="5" t="n">
        <v>16</v>
      </c>
      <c r="I21" s="9" t="n">
        <v>3.09</v>
      </c>
      <c r="J21" s="9" t="n">
        <v>3.29</v>
      </c>
      <c r="K21" s="9" t="n">
        <v>3.09</v>
      </c>
      <c r="L21" s="9" t="n">
        <v>2.97</v>
      </c>
      <c r="M21" s="9" t="n">
        <v>2.91</v>
      </c>
      <c r="N21" s="9"/>
      <c r="P21" s="5" t="n">
        <v>16</v>
      </c>
      <c r="Q21" s="5" t="n">
        <v>3.59</v>
      </c>
      <c r="R21" s="5" t="n">
        <v>3.59</v>
      </c>
      <c r="S21" s="5" t="n">
        <v>3.7</v>
      </c>
      <c r="T21" s="5" t="s">
        <v>47</v>
      </c>
      <c r="U21" s="5" t="s">
        <v>47</v>
      </c>
      <c r="V21" s="5" t="s">
        <v>47</v>
      </c>
    </row>
    <row r="22" customFormat="false" ht="15.75" hidden="false" customHeight="false" outlineLevel="0" collapsed="false">
      <c r="H22" s="5" t="n">
        <v>17</v>
      </c>
      <c r="I22" s="9" t="n">
        <v>3.13</v>
      </c>
      <c r="J22" s="9" t="n">
        <v>3.13</v>
      </c>
      <c r="K22" s="9" t="n">
        <v>3.02</v>
      </c>
      <c r="L22" s="9" t="n">
        <v>3.1</v>
      </c>
      <c r="M22" s="9" t="n">
        <v>2.85</v>
      </c>
      <c r="N22" s="9"/>
      <c r="P22" s="5" t="n">
        <v>17</v>
      </c>
      <c r="Q22" s="5" t="n">
        <v>3.5</v>
      </c>
      <c r="R22" s="5" t="n">
        <v>3.64</v>
      </c>
      <c r="S22" s="5" t="n">
        <v>3.53</v>
      </c>
      <c r="T22" s="5" t="s">
        <v>47</v>
      </c>
      <c r="U22" s="5" t="s">
        <v>47</v>
      </c>
      <c r="V22" s="5" t="s">
        <v>47</v>
      </c>
    </row>
    <row r="23" customFormat="false" ht="15.75" hidden="false" customHeight="false" outlineLevel="0" collapsed="false">
      <c r="A23" s="1" t="s">
        <v>55</v>
      </c>
      <c r="B23" s="8" t="n">
        <f aca="false">ASIN(A17/C17)</f>
        <v>0.000767884017434256</v>
      </c>
      <c r="C23" s="8" t="n">
        <f aca="false">B23*180/PI()</f>
        <v>0.043996513354533</v>
      </c>
      <c r="H23" s="5" t="n">
        <v>18</v>
      </c>
      <c r="I23" s="9" t="n">
        <v>3.03</v>
      </c>
      <c r="J23" s="9" t="n">
        <v>3.38</v>
      </c>
      <c r="K23" s="9" t="n">
        <v>3.06</v>
      </c>
      <c r="L23" s="9" t="n">
        <v>3.03</v>
      </c>
      <c r="M23" s="9" t="n">
        <v>2.75</v>
      </c>
      <c r="N23" s="9"/>
      <c r="P23" s="5" t="n">
        <v>18</v>
      </c>
      <c r="Q23" s="5" t="n">
        <v>3.53</v>
      </c>
      <c r="R23" s="5" t="n">
        <v>3.5</v>
      </c>
      <c r="S23" s="5" t="n">
        <v>3.53</v>
      </c>
      <c r="T23" s="5" t="s">
        <v>47</v>
      </c>
      <c r="U23" s="5" t="s">
        <v>47</v>
      </c>
      <c r="V23" s="5" t="s">
        <v>47</v>
      </c>
    </row>
    <row r="24" customFormat="false" ht="15.75" hidden="false" customHeight="false" outlineLevel="0" collapsed="false">
      <c r="A24" s="1" t="s">
        <v>56</v>
      </c>
      <c r="B24" s="8" t="n">
        <f aca="false">ASIN(A18/C18)</f>
        <v>0.000777137205323852</v>
      </c>
      <c r="C24" s="8" t="n">
        <f aca="false">B24*180/PI()</f>
        <v>0.0445266819676484</v>
      </c>
      <c r="H24" s="5" t="n">
        <v>19</v>
      </c>
      <c r="I24" s="9" t="n">
        <v>3.06</v>
      </c>
      <c r="J24" s="9" t="n">
        <v>3.41</v>
      </c>
      <c r="K24" s="9" t="n">
        <v>3.19</v>
      </c>
      <c r="L24" s="9" t="n">
        <v>3.19</v>
      </c>
      <c r="M24" s="9" t="n">
        <v>2.82</v>
      </c>
      <c r="N24" s="9"/>
      <c r="P24" s="5" t="n">
        <v>19</v>
      </c>
      <c r="Q24" s="5" t="n">
        <v>3.56</v>
      </c>
      <c r="R24" s="5" t="n">
        <v>3.5</v>
      </c>
      <c r="S24" s="7" t="n">
        <v>3.59</v>
      </c>
      <c r="T24" s="5" t="s">
        <v>47</v>
      </c>
      <c r="U24" s="5" t="s">
        <v>47</v>
      </c>
      <c r="V24" s="5" t="s">
        <v>47</v>
      </c>
    </row>
    <row r="25" customFormat="false" ht="15.75" hidden="false" customHeight="false" outlineLevel="0" collapsed="false">
      <c r="A25" s="1" t="s">
        <v>57</v>
      </c>
      <c r="B25" s="8" t="n">
        <f aca="false">ASIN(A19/C19)</f>
        <v>0.00078551749496423</v>
      </c>
      <c r="C25" s="8" t="n">
        <f aca="false">B25*180/PI()</f>
        <v>0.0450068371951393</v>
      </c>
      <c r="H25" s="5" t="n">
        <v>20</v>
      </c>
      <c r="I25" s="9" t="n">
        <v>3</v>
      </c>
      <c r="J25" s="9" t="n">
        <v>3.12</v>
      </c>
      <c r="K25" s="9" t="n">
        <v>3.25</v>
      </c>
      <c r="L25" s="9" t="n">
        <v>3.09</v>
      </c>
      <c r="M25" s="9" t="n">
        <v>3</v>
      </c>
      <c r="N25" s="9"/>
      <c r="P25" s="5" t="n">
        <v>20</v>
      </c>
      <c r="Q25" s="5" t="n">
        <v>3.61</v>
      </c>
      <c r="R25" s="5" t="n">
        <v>3.5</v>
      </c>
      <c r="S25" s="5" t="n">
        <v>3.54</v>
      </c>
      <c r="T25" s="5" t="s">
        <v>47</v>
      </c>
      <c r="U25" s="5" t="s">
        <v>47</v>
      </c>
      <c r="V25" s="5" t="s">
        <v>47</v>
      </c>
    </row>
    <row r="26" customFormat="false" ht="15.75" hidden="false" customHeight="false" outlineLevel="0" collapsed="false">
      <c r="A26" s="1" t="s">
        <v>58</v>
      </c>
      <c r="B26" s="8" t="n">
        <f aca="false">ASIN(A20/C20)</f>
        <v>0.00775123778323287</v>
      </c>
      <c r="C26" s="8" t="n">
        <f aca="false">B26*180/PI()</f>
        <v>0.444113210981584</v>
      </c>
    </row>
    <row r="27" customFormat="false" ht="15.75" hidden="false" customHeight="false" outlineLevel="0" collapsed="false">
      <c r="A27" s="1" t="s">
        <v>59</v>
      </c>
      <c r="B27" s="8" t="n">
        <f aca="false">ASIN(A21/C21)</f>
        <v>0.000769230845091812</v>
      </c>
      <c r="C27" s="8" t="n">
        <f aca="false">B27*180/PI()</f>
        <v>0.0440736808950425</v>
      </c>
    </row>
  </sheetData>
  <mergeCells count="5">
    <mergeCell ref="B1:D1"/>
    <mergeCell ref="H3:N3"/>
    <mergeCell ref="P3:V3"/>
    <mergeCell ref="B6:D6"/>
    <mergeCell ref="B10:D1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275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2024-12-01T19:50:32Z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